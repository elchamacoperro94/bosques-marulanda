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ADA" sheetId="1" r:id="rId4"/>
    <sheet state="visible" name="SUPUESTOS" sheetId="2" r:id="rId5"/>
    <sheet state="visible" name="PAQUETES COMERCIALES" sheetId="3" r:id="rId6"/>
    <sheet state="visible" name="MERCADO OBJETIVO" sheetId="4" r:id="rId7"/>
    <sheet state="visible" name="COSTOS DE INVERSIÓN" sheetId="5" r:id="rId8"/>
    <sheet state="visible" name="ESC A — RECURSOS PROPIOS" sheetId="6" r:id="rId9"/>
    <sheet state="visible" name="ESC B — FINANCIACIÓN MIXTA" sheetId="7" r:id="rId10"/>
    <sheet state="visible" name="ESC C — SAS + INVERSIÓN IMPACTO" sheetId="8" r:id="rId11"/>
    <sheet state="visible" name="VALORACIÓN &amp; MÉTRICAS" sheetId="9" r:id="rId12"/>
    <sheet state="visible" name="DASHBOARD" sheetId="10" r:id="rId13"/>
  </sheets>
  <definedNames/>
  <calcPr/>
</workbook>
</file>

<file path=xl/sharedStrings.xml><?xml version="1.0" encoding="utf-8"?>
<sst xmlns="http://schemas.openxmlformats.org/spreadsheetml/2006/main" count="607" uniqueCount="464">
  <si>
    <t>🌿  BOSQUES MARULANDA</t>
  </si>
  <si>
    <t>MODELO DE INVERSIÓN AMBIENTAL — LEY 2173 DE 2021</t>
  </si>
  <si>
    <t>Municipio de Marulanda, Caldas, Colombia  |  130 ha Totales  |  60 ha Productivas</t>
  </si>
  <si>
    <t>CAPACIDAD TOTAL</t>
  </si>
  <si>
    <t>PAQUETE BÁSICO</t>
  </si>
  <si>
    <t>PAQUETE PREMIUM</t>
  </si>
  <si>
    <t>RETORNO PROYECTADO</t>
  </si>
  <si>
    <t>66.000 árboles</t>
  </si>
  <si>
    <t>$130.000 / árbol</t>
  </si>
  <si>
    <t>$250.000 / árbol</t>
  </si>
  <si>
    <t>TIR 24% – 38%</t>
  </si>
  <si>
    <t>60 ha × 1.100 árb/ha</t>
  </si>
  <si>
    <t>Siembra + certificación</t>
  </si>
  <si>
    <t>Experiencia completa</t>
  </si>
  <si>
    <t>Según escenario</t>
  </si>
  <si>
    <t>CONTENIDO DEL MODELO</t>
  </si>
  <si>
    <t>1</t>
  </si>
  <si>
    <t>SUPUESTOS</t>
  </si>
  <si>
    <t>Parámetros base del modelo — todas las variables clave</t>
  </si>
  <si>
    <t>2</t>
  </si>
  <si>
    <t>PAQUETES COMERCIALES</t>
  </si>
  <si>
    <t>Estructura detallada Paquete Básico y Paquete Premium</t>
  </si>
  <si>
    <t>3</t>
  </si>
  <si>
    <t>MERCADO OBJETIVO</t>
  </si>
  <si>
    <t>Cuántas empresas necesitamos y de qué tamaño</t>
  </si>
  <si>
    <t>4</t>
  </si>
  <si>
    <t>COSTOS DE INVERSIÓN</t>
  </si>
  <si>
    <t>Inversión inicial, finca, adecuación y operación</t>
  </si>
  <si>
    <t>5</t>
  </si>
  <si>
    <t>ESC A — Recursos Propios</t>
  </si>
  <si>
    <t>Flujo de caja con capital 100% propio (5 años)</t>
  </si>
  <si>
    <t>6</t>
  </si>
  <si>
    <t>ESC B — Financiación Mixta</t>
  </si>
  <si>
    <t>Capital propio + Finagro + iNNpulsa (3 años)</t>
  </si>
  <si>
    <t>7</t>
  </si>
  <si>
    <t>ESC C — SAS + Inversión Impacto</t>
  </si>
  <si>
    <t>Sociedad + fondo verde + escala nacional</t>
  </si>
  <si>
    <t>8</t>
  </si>
  <si>
    <t>VALORACIÓN &amp; MÉTRICAS</t>
  </si>
  <si>
    <t>TIR, VPN, Payback, múltiplos de salida</t>
  </si>
  <si>
    <t>9</t>
  </si>
  <si>
    <t>DASHBOARD</t>
  </si>
  <si>
    <t>Resumen visual para presentación a inversionistas</t>
  </si>
  <si>
    <t>Confidencial — Uso exclusivo para presentación a inversionistas  |  Marulanda, Caldas, Colombia  |  Abril 2026</t>
  </si>
  <si>
    <t>SUPUESTOS Y PARÁMETROS BASE DEL MODELO</t>
  </si>
  <si>
    <t>Celdas en AZUL = entradas del usuario  |  Celdas en NEGRO = calculadas  |  Modificar solo celdas azules</t>
  </si>
  <si>
    <t>PARÁMETRO</t>
  </si>
  <si>
    <t>VALOR</t>
  </si>
  <si>
    <t>UNIDAD</t>
  </si>
  <si>
    <t>FUENTE / NOTA</t>
  </si>
  <si>
    <t xml:space="preserve">  🌿  DATOS DE LA FINCA</t>
  </si>
  <si>
    <t>Hectáreas totales finca</t>
  </si>
  <si>
    <t>ha</t>
  </si>
  <si>
    <t>Escritura / matrícula Marulanda, Caldas</t>
  </si>
  <si>
    <t>Hectáreas destinadas al proyecto</t>
  </si>
  <si>
    <t>Área productiva para Ley 2173</t>
  </si>
  <si>
    <t>Densidad de siembra (marco 3×3)</t>
  </si>
  <si>
    <t>árboles/ha</t>
  </si>
  <si>
    <t>CAR Colombia – Guía técnica forestal; 10.000m²÷9m²</t>
  </si>
  <si>
    <t>Capacidad total del proyecto</t>
  </si>
  <si>
    <t>árboles</t>
  </si>
  <si>
    <t>Altitud finca</t>
  </si>
  <si>
    <t>msnm</t>
  </si>
  <si>
    <t>Coordenadas 5°05'49.9"N / 75°20'40.0"W — Google Maps</t>
  </si>
  <si>
    <t>Temperatura promedio</t>
  </si>
  <si>
    <t>°C</t>
  </si>
  <si>
    <t>Gobernación de Caldas – Ficha Marulanda</t>
  </si>
  <si>
    <t xml:space="preserve">  🏡  ADQUISICIÓN DE LA FINCA</t>
  </si>
  <si>
    <t>Precio/ha estimado zona páramo Marulanda</t>
  </si>
  <si>
    <t>COP/ha</t>
  </si>
  <si>
    <t>Referencia mercado fincas Caldas 2025 — Fincaraiz</t>
  </si>
  <si>
    <t>Valor total finca (oferta inicial)</t>
  </si>
  <si>
    <t>COP</t>
  </si>
  <si>
    <t>Techo negociador finca</t>
  </si>
  <si>
    <t>Costos notariales y registro</t>
  </si>
  <si>
    <t>Aprox. 2% del valor escritura</t>
  </si>
  <si>
    <t xml:space="preserve">  🌱  PAQUETE BÁSICO — Solo siembra y certificación</t>
  </si>
  <si>
    <t>Costo plántula nativa ICA certificada</t>
  </si>
  <si>
    <t>COP/árbol</t>
  </si>
  <si>
    <t>Referencia viveros certificados Caldas 2025</t>
  </si>
  <si>
    <t>Costo transporte a finca</t>
  </si>
  <si>
    <t>Estimado logística zona rural Marulanda</t>
  </si>
  <si>
    <t>Costo mano de obra siembra</t>
  </si>
  <si>
    <t>Jornal promedio zona + fertilización + hoyo</t>
  </si>
  <si>
    <t>Mantenimiento año 1</t>
  </si>
  <si>
    <t>Revisión, reposición 10%, abono, limpieza</t>
  </si>
  <si>
    <t>Mantenimiento año 2</t>
  </si>
  <si>
    <t>Monitoreo, abono, podas formativas</t>
  </si>
  <si>
    <t>Plan manejo + registro MADS</t>
  </si>
  <si>
    <t>Prorrateado sobre capacidad total</t>
  </si>
  <si>
    <t>Certificado 'Siembra Vida Empresarial'</t>
  </si>
  <si>
    <t>Trámite Secretaría de Planeación municipal</t>
  </si>
  <si>
    <t>Gestión comercial + administración</t>
  </si>
  <si>
    <t>5% overhead operativo</t>
  </si>
  <si>
    <t>COSTO TOTAL BÁSICO POR ÁRBOL</t>
  </si>
  <si>
    <t>Suma de todos los rubros anteriores</t>
  </si>
  <si>
    <t>PRECIO DE VENTA BÁSICO</t>
  </si>
  <si>
    <t>Precio al cliente — paquete básico</t>
  </si>
  <si>
    <t>Margen bruto básico</t>
  </si>
  <si>
    <t>%</t>
  </si>
  <si>
    <t xml:space="preserve">  ⭐  PAQUETE PREMIUM — Experiencia empresarial completa</t>
  </si>
  <si>
    <t>Costo base (igual al básico)</t>
  </si>
  <si>
    <t>Misma base operativa</t>
  </si>
  <si>
    <t>Día de siembra empresarial (empleados)</t>
  </si>
  <si>
    <t>Transporte, guías, refrigerios, logística visita</t>
  </si>
  <si>
    <t>Árbol personalizado por empleado (QR+app)</t>
  </si>
  <si>
    <t>Placa QR, código seguimiento digital</t>
  </si>
  <si>
    <t>Informe de carbono (estimado tCO₂)</t>
  </si>
  <si>
    <t>Cálculo estimado captura CO₂ por árbol</t>
  </si>
  <si>
    <t>Kit experiencial empresa (cert. enmarcado)</t>
  </si>
  <si>
    <t>Certificado premium + foto árbol + reporte RSE</t>
  </si>
  <si>
    <t>Seguimiento fotográfico 2 años</t>
  </si>
  <si>
    <t>Registro visual para reporte anual empresa</t>
  </si>
  <si>
    <t>COSTO TOTAL PREMIUM POR ÁRBOL</t>
  </si>
  <si>
    <t>Suma de todos los rubros premium</t>
  </si>
  <si>
    <t>PRECIO DE VENTA PREMIUM</t>
  </si>
  <si>
    <t>Precio al cliente — paquete premium</t>
  </si>
  <si>
    <t>Margen bruto premium</t>
  </si>
  <si>
    <t xml:space="preserve">  ⚙️  SUPUESTOS OPERATIVOS</t>
  </si>
  <si>
    <t>% ventas paquete básico (año 1-2)</t>
  </si>
  <si>
    <t>Estimado: mayoría empresas inician con básico</t>
  </si>
  <si>
    <t>% ventas paquete premium (año 1-2)</t>
  </si>
  <si>
    <t>Empresas grandes / Bogotá / multinacionales</t>
  </si>
  <si>
    <t>% ventas básico (año 3+)</t>
  </si>
  <si>
    <t>Mix se equilibra a medida que el producto madura</t>
  </si>
  <si>
    <t>% ventas premium (año 3+)</t>
  </si>
  <si>
    <t>Mayor penetración mercado corporativo</t>
  </si>
  <si>
    <t>Tasa de recompra anual (recurrencia)</t>
  </si>
  <si>
    <t>Ley obliga siembra anual → alta fidelización</t>
  </si>
  <si>
    <t>Árboles fase 1 (año 1)</t>
  </si>
  <si>
    <t>Siembra inicial — 13,6 ha</t>
  </si>
  <si>
    <t>Árboles fase 2 (año 2)</t>
  </si>
  <si>
    <t>Expansión — 22,7 ha adicionales</t>
  </si>
  <si>
    <t>Árboles fase 3 (año 3)</t>
  </si>
  <si>
    <t>Completar 60 ha — 23,6 ha finales</t>
  </si>
  <si>
    <t>Tasa de descuento (WACC)</t>
  </si>
  <si>
    <t>Referencia proyectos ambientales Colombia</t>
  </si>
  <si>
    <t>ESTRUCTURA DE PAQUETES COMERCIALES — BOSQUES MARULANDA</t>
  </si>
  <si>
    <t>COMPONENTE DEL SERVICIO</t>
  </si>
  <si>
    <t>🌱 BÁSICO</t>
  </si>
  <si>
    <t>⭐ PREMIUM</t>
  </si>
  <si>
    <t>Plántula nativa ICA certificada</t>
  </si>
  <si>
    <t>✅ Incluido</t>
  </si>
  <si>
    <t>Transporte de plantas a la finca</t>
  </si>
  <si>
    <t>Siembra profesional en campo</t>
  </si>
  <si>
    <t>Georreferenciación del árbol</t>
  </si>
  <si>
    <t>Mantenimiento año 1 (abono, reposición)</t>
  </si>
  <si>
    <t>Mantenimiento año 2 (monitoreo, poda)</t>
  </si>
  <si>
    <t>Plan de manejo ambiental</t>
  </si>
  <si>
    <t>Registro plataforma MADS</t>
  </si>
  <si>
    <t>Informe básico de cumplimiento Ley 2173</t>
  </si>
  <si>
    <t>─── DIFERENCIALES PREMIUM ───</t>
  </si>
  <si>
    <t>Jornada presencial empleados en finca</t>
  </si>
  <si>
    <t>❌ No incluido</t>
  </si>
  <si>
    <t>Código QR personalizado por árbol/empleado</t>
  </si>
  <si>
    <t>App de seguimiento árbol del empleado</t>
  </si>
  <si>
    <t>Estimado de captura CO₂ certificado</t>
  </si>
  <si>
    <t>Certificado premium enmarcado por empleado</t>
  </si>
  <si>
    <t>Informe RSE completo para stakeholders</t>
  </si>
  <si>
    <t>Sello 'Empresa Amiga del Bosque Marulanda'</t>
  </si>
  <si>
    <t>Visita ecoturismo para directivos</t>
  </si>
  <si>
    <t xml:space="preserve">  💰  RESUMEN DE PRECIOS Y MÁRGENES</t>
  </si>
  <si>
    <t>CONCEPTO</t>
  </si>
  <si>
    <t>BÁSICO</t>
  </si>
  <si>
    <t>PREMIUM</t>
  </si>
  <si>
    <t>DIFERENCIAL</t>
  </si>
  <si>
    <t>Costo total por árbol (COP)</t>
  </si>
  <si>
    <t>Precio de venta por árbol (COP)</t>
  </si>
  <si>
    <t>Margen bruto por árbol (COP)</t>
  </si>
  <si>
    <t>Margen bruto (%)</t>
  </si>
  <si>
    <t>Costo empresa: 200 empleados (COP)</t>
  </si>
  <si>
    <t>Costo empresa: 500 empleados (COP)</t>
  </si>
  <si>
    <t>Costo empresa: 1.000 empleados (COP)</t>
  </si>
  <si>
    <t>ANÁLISIS DE MERCADO OBJETIVO — COLOMBIA</t>
  </si>
  <si>
    <t>Medianas y grandes empresas obligadas por Ley 2173 de 2021 — Resolución 1491 de 2025</t>
  </si>
  <si>
    <t xml:space="preserve">  📊  SEGMENTACIÓN POR TAMAÑO DE EMPRESA</t>
  </si>
  <si>
    <t>SEGMENTO</t>
  </si>
  <si>
    <t>EMPLEADOS</t>
  </si>
  <si>
    <t>ÁRBOLES/AÑO
(2 x empleado)</t>
  </si>
  <si>
    <t>PRECIO
BÁSICO/AÑO</t>
  </si>
  <si>
    <t>PRECIO
PREMIUM/AÑO</t>
  </si>
  <si>
    <t>META
CLIENTES</t>
  </si>
  <si>
    <t>INGRESOS
BÁSICO</t>
  </si>
  <si>
    <t>INGRESOS
PREMIUM</t>
  </si>
  <si>
    <t>Mediana pequeña</t>
  </si>
  <si>
    <t>50–100</t>
  </si>
  <si>
    <t>Mediana media</t>
  </si>
  <si>
    <t>100–200</t>
  </si>
  <si>
    <t>Mediana grande</t>
  </si>
  <si>
    <t>200–400</t>
  </si>
  <si>
    <t>Gran empresa</t>
  </si>
  <si>
    <t>500–1000</t>
  </si>
  <si>
    <t>Multinacional</t>
  </si>
  <si>
    <t>2000–4000</t>
  </si>
  <si>
    <t>TOTAL POTENCIAL (escenario meta)</t>
  </si>
  <si>
    <t xml:space="preserve">  🎯  CUÁNTAS EMPRESAS NECESITAMOS PARA LLENAR LAS 60 ha</t>
  </si>
  <si>
    <t>MIX DE CLIENTES</t>
  </si>
  <si>
    <t># EMPRESAS</t>
  </si>
  <si>
    <t>ÁRBOLES
TOTALES</t>
  </si>
  <si>
    <t>HECTÁREAS
CUBIERTAS</t>
  </si>
  <si>
    <t>% FINCA
OCUPADA</t>
  </si>
  <si>
    <t>COMENTARIO</t>
  </si>
  <si>
    <t>Solo medianas (200 emp)</t>
  </si>
  <si>
    <t>10.0%</t>
  </si>
  <si>
    <t>1 año — inicio</t>
  </si>
  <si>
    <t>Mix 20 med + 5 grandes</t>
  </si>
  <si>
    <t>24.2%</t>
  </si>
  <si>
    <t>Año 2</t>
  </si>
  <si>
    <t>Mix 40 med + 10 grandes + 2 mult</t>
  </si>
  <si>
    <t>60.6%</t>
  </si>
  <si>
    <t>Año 3</t>
  </si>
  <si>
    <t>Finca llena (66.000 árb)</t>
  </si>
  <si>
    <t>100%</t>
  </si>
  <si>
    <t>Año 4-5 (plena capacidad)</t>
  </si>
  <si>
    <t>ESTRUCTURA DE INVERSIÓN TOTAL — BOSQUES MARULANDA</t>
  </si>
  <si>
    <t xml:space="preserve">  🏡  ADQUISICIÓN Y LEGALIZACIÓN DE LA FINCA</t>
  </si>
  <si>
    <t>RUBRO</t>
  </si>
  <si>
    <t>COSTO</t>
  </si>
  <si>
    <t>FUENTE</t>
  </si>
  <si>
    <t>AÑO</t>
  </si>
  <si>
    <t>OBSERVACIÓN</t>
  </si>
  <si>
    <t>Compra finca 130 ha (oferta)</t>
  </si>
  <si>
    <t>Mercado Marulanda 2025</t>
  </si>
  <si>
    <t>Año 0</t>
  </si>
  <si>
    <t>$4M/ha promedio zona páramo</t>
  </si>
  <si>
    <t>Gastos notariales y registro</t>
  </si>
  <si>
    <t>2.3% valor escritura</t>
  </si>
  <si>
    <t>Notaría + registro + impuestos</t>
  </si>
  <si>
    <t>Estudio jurídico de títulos</t>
  </si>
  <si>
    <t>Abogado especialista</t>
  </si>
  <si>
    <t>Due diligence legal</t>
  </si>
  <si>
    <t>Levantamiento topográfico</t>
  </si>
  <si>
    <t>Topógrafo certificado</t>
  </si>
  <si>
    <t>Deslinde + georref. 130 ha</t>
  </si>
  <si>
    <t>SUBTOTAL ADQUISICIÓN</t>
  </si>
  <si>
    <t xml:space="preserve">  🌿  ADECUACIÓN DEL PREDIO (60 ha productivas)</t>
  </si>
  <si>
    <t>Cerramiento perimetral 60 ha</t>
  </si>
  <si>
    <t>Referencia obras rurales Caldas</t>
  </si>
  <si>
    <t>Año 1</t>
  </si>
  <si>
    <t>Alambre de púas + postes madera</t>
  </si>
  <si>
    <t>Vías internas y caminos</t>
  </si>
  <si>
    <t>Estimado pendiente andino</t>
  </si>
  <si>
    <t>Acceso a zonas de siembra</t>
  </si>
  <si>
    <t>Sistemas mínimos de riego (nacimientos)</t>
  </si>
  <si>
    <t>Aprovechamiento hídrico predio</t>
  </si>
  <si>
    <t>3 nacimientos naturales</t>
  </si>
  <si>
    <t>Plan de manejo ambiental Corpocaldas</t>
  </si>
  <si>
    <t>Consultoría ambiental certificada</t>
  </si>
  <si>
    <t>Año 0-1</t>
  </si>
  <si>
    <t>Obligatorio para registro</t>
  </si>
  <si>
    <t>Registro Área de Vida municipio</t>
  </si>
  <si>
    <t>Secretaría Planeación Marulanda</t>
  </si>
  <si>
    <t>Trámite declaratoria</t>
  </si>
  <si>
    <t>Min. Ambiente</t>
  </si>
  <si>
    <t>Inscripción Proyectos Restauración</t>
  </si>
  <si>
    <t>Herramientas y equipos de campo</t>
  </si>
  <si>
    <t>Palas, ahoyadores, carretillas, EPP</t>
  </si>
  <si>
    <t>Dotación completa cuadrilla</t>
  </si>
  <si>
    <t>SUBTOTAL ADECUACIÓN</t>
  </si>
  <si>
    <t xml:space="preserve">  💼  INVERSIÓN OPERATIVA POR FASE (3 fases)</t>
  </si>
  <si>
    <t>Plántulas ICA certificadas — Fase 1 (15.000 árb)</t>
  </si>
  <si>
    <t>Viveros cert. Caldas $7.000/u</t>
  </si>
  <si>
    <t>15.000 × $7.000</t>
  </si>
  <si>
    <t>Siembra mano de obra Fase 1</t>
  </si>
  <si>
    <t>$8.000/árbol todo incluido</t>
  </si>
  <si>
    <t>15.000 × $8.000</t>
  </si>
  <si>
    <t>Plántulas ICA certificadas — Fase 2 (25.000 árb)</t>
  </si>
  <si>
    <t>Viveros cert. Caldas</t>
  </si>
  <si>
    <t>25.000 × $7.000</t>
  </si>
  <si>
    <t>Siembra mano de obra Fase 2</t>
  </si>
  <si>
    <t>$8.000/árbol</t>
  </si>
  <si>
    <t>25.000 × $8.000</t>
  </si>
  <si>
    <t>Plántulas ICA certificadas — Fase 3 (26.000 árb)</t>
  </si>
  <si>
    <t>26.000 × $7.000</t>
  </si>
  <si>
    <t>Siembra mano de obra Fase 3</t>
  </si>
  <si>
    <t>26.000 × $8.000</t>
  </si>
  <si>
    <t>Mantenimiento año 1 (todas las fases)</t>
  </si>
  <si>
    <t>$12.000/árbol/año</t>
  </si>
  <si>
    <t>Año 1-4</t>
  </si>
  <si>
    <t>15.000 árb/fase → escalonado</t>
  </si>
  <si>
    <t>Mantenimiento año 2 (todas las fases)</t>
  </si>
  <si>
    <t>$8.000/árbol/año</t>
  </si>
  <si>
    <t>Año 2-5</t>
  </si>
  <si>
    <t>Escalonado por fase</t>
  </si>
  <si>
    <t>Certificaciones y trámites por año</t>
  </si>
  <si>
    <t>$3.000–$4.000 árbol/año</t>
  </si>
  <si>
    <t>Anual</t>
  </si>
  <si>
    <t>MADS + secretarías municipales</t>
  </si>
  <si>
    <t>SUBTOTAL OPERATIVO (3 años)</t>
  </si>
  <si>
    <t>INVERSIÓN TOTAL DEL PROYECTO (con compra finca)</t>
  </si>
  <si>
    <t>INVERSIÓN TOTAL SIN COMPRA DE FINCA</t>
  </si>
  <si>
    <t>ESCENARIO A — 100% RECURSOS PROPIOS</t>
  </si>
  <si>
    <t>Todo el capital aportado por socios fundadores. Horizonte: 5 años hacia flujo positivo sostenido.</t>
  </si>
  <si>
    <t>AÑO 0
(Adquisición)</t>
  </si>
  <si>
    <t>AÑO 1
(Fase 1)</t>
  </si>
  <si>
    <t>AÑO 2
(Fase 2)</t>
  </si>
  <si>
    <t>AÑO 3
(Fase 3)</t>
  </si>
  <si>
    <t>AÑO 4
(Plena op.)</t>
  </si>
  <si>
    <t>AÑO 5
(Madurez)</t>
  </si>
  <si>
    <t>TOTAL / PROM</t>
  </si>
  <si>
    <t xml:space="preserve">  📉  INVERSIONES Y EGRESOS</t>
  </si>
  <si>
    <t>Compra finca 130 ha</t>
  </si>
  <si>
    <t>Adecuación y legalización predio</t>
  </si>
  <si>
    <t>Plántulas ICA + siembra Fase 1 (15K árb)</t>
  </si>
  <si>
    <t>Plántulas ICA + siembra Fase 2 (25K árb)</t>
  </si>
  <si>
    <t>Plántulas ICA + siembra Fase 3 (26K árb)</t>
  </si>
  <si>
    <t>Mantenimiento (año 1 de c/fase)</t>
  </si>
  <si>
    <t>Mantenimiento (año 2 de c/fase)</t>
  </si>
  <si>
    <t>Certificaciones y trámites</t>
  </si>
  <si>
    <t>Gastos admin y comerciales</t>
  </si>
  <si>
    <t>TOTAL INVERSIÓN / EGRESOS</t>
  </si>
  <si>
    <t xml:space="preserve">  📈  INGRESOS OPERATIVOS</t>
  </si>
  <si>
    <t>Ingresos paquete básico (70%/50%)</t>
  </si>
  <si>
    <t>Ingresos paquete premium (30%/50%)</t>
  </si>
  <si>
    <t>TOTAL INGRESOS</t>
  </si>
  <si>
    <t xml:space="preserve">  💵  FLUJO DE CAJA Y MÉTRICAS</t>
  </si>
  <si>
    <t>Flujo neto del período (COP)</t>
  </si>
  <si>
    <t>Flujo acumulado (COP)</t>
  </si>
  <si>
    <t>ESCENARIO B — CAPITAL PROPIO + FINAGRO + iNNpulsa</t>
  </si>
  <si>
    <t>40% capital propio | 40% Finagro Reforestación | 8% iNNpulsa (no reembolsable). Payback ~2.5 años capital propio.</t>
  </si>
  <si>
    <t>AÑO 0</t>
  </si>
  <si>
    <t>AÑO 1</t>
  </si>
  <si>
    <t>AÑO 2</t>
  </si>
  <si>
    <t>AÑO 3</t>
  </si>
  <si>
    <t>AÑO 4</t>
  </si>
  <si>
    <t>AÑO 5</t>
  </si>
  <si>
    <t>Compra finca (capital propio)</t>
  </si>
  <si>
    <t>Gastos notariales + adecuación</t>
  </si>
  <si>
    <t>Siembra Fase 1 — con crédito Finagro</t>
  </si>
  <si>
    <t>Siembra Fase 2 — con crédito Finagro</t>
  </si>
  <si>
    <t>Siembra Fase 3 — con crédito Finagro</t>
  </si>
  <si>
    <t>Mantenimiento total</t>
  </si>
  <si>
    <t>Cuota crédito Finagro ($400M, 8 años)</t>
  </si>
  <si>
    <t>Certificaciones + admin</t>
  </si>
  <si>
    <t>Ingresos paquete básico</t>
  </si>
  <si>
    <t>Ingresos paquete premium</t>
  </si>
  <si>
    <t xml:space="preserve">  🏦  FINANCIACIÓN EXTERNA</t>
  </si>
  <si>
    <t>Crédito Finagro reforestación (desembolso)</t>
  </si>
  <si>
    <t>Recurso iNNpulsa / Fondo Emprender (no reembolsable)</t>
  </si>
  <si>
    <t>ESCENARIO C — BOSQUES MARULANDA SAS + FONDO DE IMPACTO AMBIENTAL</t>
  </si>
  <si>
    <t>Modelo societario: capital propio 45% | fondo verde 25% | Finagro 30%. Escala nacional a partir del año 3.</t>
  </si>
  <si>
    <t>AÑO 6</t>
  </si>
  <si>
    <t>AÑO 8</t>
  </si>
  <si>
    <t>Constitución SAS + gastos legales</t>
  </si>
  <si>
    <t>Adecuación predio</t>
  </si>
  <si>
    <t>Siembra Fase 1 (fondo impacto)</t>
  </si>
  <si>
    <t>Siembra Fase 2 (fondo impacto)</t>
  </si>
  <si>
    <t>Siembra Fase 3 (fondo impacto)</t>
  </si>
  <si>
    <t>Gestión comercial escala nacional</t>
  </si>
  <si>
    <t>Dividendo socio fondo impacto (25%)</t>
  </si>
  <si>
    <t>Ingresos básico + premium (mix 50/50)</t>
  </si>
  <si>
    <t>Ingresos ecoturismo corporativo</t>
  </si>
  <si>
    <t>Créditos de carbono (a partir año 3)</t>
  </si>
  <si>
    <t>Capital fondo de impacto ambiental (25% SAS)</t>
  </si>
  <si>
    <t>Crédito Finagro reforestación</t>
  </si>
  <si>
    <t>VALORACIÓN, MÉTRICAS DE RETORNO Y ANÁLISIS DE SENSIBILIDAD</t>
  </si>
  <si>
    <t xml:space="preserve">  📊  RESUMEN COMPARATIVO DE ESCENARIOS</t>
  </si>
  <si>
    <t>MÉTRICA</t>
  </si>
  <si>
    <t>ESC A
Recursos Propios</t>
  </si>
  <si>
    <t>ESC B
Financiación Mixta</t>
  </si>
  <si>
    <t>ESC C
SAS + Impacto</t>
  </si>
  <si>
    <t>Inversión total requerida (COP)</t>
  </si>
  <si>
    <t>$1.938M</t>
  </si>
  <si>
    <t>$1.938M + $300M fondo</t>
  </si>
  <si>
    <t>Capital propio requerido (COP)</t>
  </si>
  <si>
    <t>$600M</t>
  </si>
  <si>
    <t>$520M (finca)</t>
  </si>
  <si>
    <t>Payback capital propio</t>
  </si>
  <si>
    <t>4 años</t>
  </si>
  <si>
    <t>2,5 años</t>
  </si>
  <si>
    <t>3 años</t>
  </si>
  <si>
    <t>Escenario C incluye dividendos</t>
  </si>
  <si>
    <t>TIR estimada (5 años)</t>
  </si>
  <si>
    <t>24%</t>
  </si>
  <si>
    <t>35%</t>
  </si>
  <si>
    <t>38%</t>
  </si>
  <si>
    <t>TIR sobre capital propio</t>
  </si>
  <si>
    <t>VPN a tasa 12% (5 años, COP)</t>
  </si>
  <si>
    <t>$1.200M</t>
  </si>
  <si>
    <t>$1.850M</t>
  </si>
  <si>
    <t>$2.400M</t>
  </si>
  <si>
    <t>Ingresos año 4 (plena capacidad)</t>
  </si>
  <si>
    <t>$4.207M</t>
  </si>
  <si>
    <t>$3.852M neto</t>
  </si>
  <si>
    <t>C neto de dividendo fondo</t>
  </si>
  <si>
    <t>EBITDA estimado año 4</t>
  </si>
  <si>
    <t>$2.100M</t>
  </si>
  <si>
    <t>$2.300M</t>
  </si>
  <si>
    <t>$1.900M</t>
  </si>
  <si>
    <t>Margen ~50%</t>
  </si>
  <si>
    <t>Múltiplo sobre inversión (MOIC)</t>
  </si>
  <si>
    <t>2.1x</t>
  </si>
  <si>
    <t>4.8x</t>
  </si>
  <si>
    <t>5.2x</t>
  </si>
  <si>
    <t>Sobre capital propio</t>
  </si>
  <si>
    <t>Valoración empresa año 5 (5× EBITDA)</t>
  </si>
  <si>
    <t>$10.500M</t>
  </si>
  <si>
    <t>$11.500M</t>
  </si>
  <si>
    <t>$9.500M (75% socios)</t>
  </si>
  <si>
    <t>Punto de equilibrio (# árboles/año)</t>
  </si>
  <si>
    <t>14.000</t>
  </si>
  <si>
    <t>8.500</t>
  </si>
  <si>
    <t>6.000</t>
  </si>
  <si>
    <t>Mix 50/50 precio</t>
  </si>
  <si>
    <t>Punto de equilibrio (# empresas ~200 emp)</t>
  </si>
  <si>
    <t>35</t>
  </si>
  <si>
    <t>21</t>
  </si>
  <si>
    <t>15</t>
  </si>
  <si>
    <t>Empresas medianas tipo</t>
  </si>
  <si>
    <t xml:space="preserve">  🎯  ANÁLISIS DE SENSIBILIDAD — PRECIO POR ÁRBOL vs ÁRBOLES VENDIDOS</t>
  </si>
  <si>
    <t>Precio / Árboles/año →</t>
  </si>
  <si>
    <t>INGRESOS ANUALES (COP) según precio y volumen</t>
  </si>
  <si>
    <t>Precio ↓  /  Vol →</t>
  </si>
  <si>
    <t>10,000 árb/año</t>
  </si>
  <si>
    <t>20,000 árb/año</t>
  </si>
  <si>
    <t>40,000 árb/año</t>
  </si>
  <si>
    <t>66,000 árb/año</t>
  </si>
  <si>
    <t>$80,000/árbol</t>
  </si>
  <si>
    <t>$130,000/árbol</t>
  </si>
  <si>
    <t>$180,000/árbol</t>
  </si>
  <si>
    <t>$250,000/árbol</t>
  </si>
  <si>
    <t>🌿  BOSQUES MARULANDA — DASHBOARD EJECUTIVO PARA INVERSIONISTAS</t>
  </si>
  <si>
    <t>ÁRBOLES
CAPACIDAD TOTAL</t>
  </si>
  <si>
    <t>PRECIO
POR ÁRBOL</t>
  </si>
  <si>
    <t>TIR
ESTIMADA</t>
  </si>
  <si>
    <t>ÁREA
PRODUCTIVA</t>
  </si>
  <si>
    <t>66.000</t>
  </si>
  <si>
    <t>$130K–$250K</t>
  </si>
  <si>
    <t>24%–38%</t>
  </si>
  <si>
    <t>60 ha</t>
  </si>
  <si>
    <t>COMPARATIVO DE ESCENARIOS DE INVERSIÓN</t>
  </si>
  <si>
    <t>ESCENARIO</t>
  </si>
  <si>
    <t>CAPITAL
PROPIO (COP)</t>
  </si>
  <si>
    <t>FINANCIACIÓN
EXTERNA</t>
  </si>
  <si>
    <t>PAYBACK</t>
  </si>
  <si>
    <t>TIR</t>
  </si>
  <si>
    <t>MOIC</t>
  </si>
  <si>
    <t>INGRESO
AÑO 4</t>
  </si>
  <si>
    <t>RECOMENDACIÓN</t>
  </si>
  <si>
    <t>A — Recursos Propios</t>
  </si>
  <si>
    <t>Ninguna</t>
  </si>
  <si>
    <t>Máx. control</t>
  </si>
  <si>
    <t>B — Financiación Mixta ⭐</t>
  </si>
  <si>
    <t>Finagro $400M
+ iNNpulsa $80M</t>
  </si>
  <si>
    <t>RECOMENDADO</t>
  </si>
  <si>
    <t>C — SAS + Fondo Verde</t>
  </si>
  <si>
    <t>$520M</t>
  </si>
  <si>
    <t>Fondo impacto $300M
+ Finagro $400M</t>
  </si>
  <si>
    <t>Escala nacional</t>
  </si>
  <si>
    <t>PROYECCIÓN DE INGRESOS — ESCENARIO B (RECOMENDADO)</t>
  </si>
  <si>
    <t>Árboles vendidos</t>
  </si>
  <si>
    <t>Precio promedio ponderado (COP)</t>
  </si>
  <si>
    <t>Ingresos totales (COP)</t>
  </si>
  <si>
    <t>Egresos totales (COP)</t>
  </si>
  <si>
    <t>-$600M</t>
  </si>
  <si>
    <t>Cuota Finagro + iNNpulsa</t>
  </si>
  <si>
    <t>FLUJO NETO (COP)</t>
  </si>
  <si>
    <t>FLUJO ACUMULADO (COP)</t>
  </si>
  <si>
    <t>-$907M</t>
  </si>
  <si>
    <t>-$1.357M</t>
  </si>
  <si>
    <t>-$1.495M</t>
  </si>
  <si>
    <t>+$2.033M</t>
  </si>
  <si>
    <t>+$5.777M</t>
  </si>
  <si>
    <t>Bosques Marulanda SAS  |  Ley 2173 de 2021 — Resolución 1491 de 2025  |  Marulanda, Caldas, Colombia  |  Documento Confidencial — Abril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</si>
</sst>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%"/>
    <numFmt numFmtId="165" formatCode="$#,##0;($#,##0);&quot;-&quot;"/>
    <numFmt numFmtId="166" formatCode="$#,##0"/>
    <numFmt numFmtId="167" formatCode="#,##0.0"/>
  </numFmts>
  <fonts count="36">
    <font>
      <sz val="11.0"/>
      <color/>
      <name val="Arial"/>
      <scheme val="minor"/>
    </font>
    <font>
      <sz val="11.0"/>
      <color/>
      <name val="Calibri"/>
    </font>
    <font/>
    <font>
      <b/>
      <sz val="32.0"/>
      <color rgb="FFFFFFFF"/>
      <name val="Arial"/>
    </font>
    <font>
      <b/>
      <sz val="18.0"/>
      <color rgb="FFFFFFFF"/>
      <name val="Arial"/>
    </font>
    <font>
      <sz val="13.0"/>
      <color rgb="FFFFFFFF"/>
      <name val="Arial"/>
    </font>
    <font>
      <b/>
      <sz val="9.0"/>
      <color rgb="FFFFFFFF"/>
      <name val="Arial"/>
    </font>
    <font>
      <b/>
      <sz val="16.0"/>
      <color rgb="FF1A4731"/>
      <name val="Arial"/>
    </font>
    <font>
      <b/>
      <sz val="16.0"/>
      <color rgb="FFB7950B"/>
      <name val="Arial"/>
    </font>
    <font>
      <sz val="9.0"/>
      <color rgb="FF404040"/>
      <name val="Arial"/>
    </font>
    <font>
      <b/>
      <sz val="12.0"/>
      <color rgb="FFFFFFFF"/>
      <name val="Arial"/>
    </font>
    <font>
      <b/>
      <sz val="10.0"/>
      <color rgb="FFFFFFFF"/>
      <name val="Arial"/>
    </font>
    <font>
      <b/>
      <sz val="10.0"/>
      <color rgb="FF1A4731"/>
      <name val="Arial"/>
    </font>
    <font>
      <sz val="10.0"/>
      <color rgb="FF404040"/>
      <name val="Arial"/>
    </font>
    <font>
      <sz val="9.0"/>
      <color rgb="FFFFFFFF"/>
      <name val="Arial"/>
    </font>
    <font>
      <b/>
      <sz val="16.0"/>
      <color rgb="FFFFFFFF"/>
      <name val="Arial"/>
    </font>
    <font>
      <sz val="10.0"/>
      <color rgb="FFB7950B"/>
      <name val="Arial"/>
    </font>
    <font>
      <b/>
      <sz val="11.0"/>
      <color rgb="FFFFFFFF"/>
      <name val="Arial"/>
    </font>
    <font>
      <sz val="10.0"/>
      <color rgb="FF0000FF"/>
      <name val="Arial"/>
    </font>
    <font>
      <b/>
      <sz val="10.0"/>
      <color rgb="FF404040"/>
      <name val="Arial"/>
    </font>
    <font>
      <b/>
      <sz val="10.0"/>
      <color rgb="FF0000FF"/>
      <name val="Arial"/>
    </font>
    <font>
      <sz val="10.0"/>
      <color rgb="FF40916C"/>
      <name val="Arial"/>
    </font>
    <font>
      <sz val="10.0"/>
      <color rgb="FFC0392B"/>
      <name val="Arial"/>
    </font>
    <font>
      <sz val="11.0"/>
      <color rgb="FF1A4731"/>
      <name val="Arial"/>
    </font>
    <font>
      <b/>
      <sz val="15.0"/>
      <color rgb="FFFFFFFF"/>
      <name val="Arial"/>
    </font>
    <font>
      <sz val="10.0"/>
      <color rgb="FF1A4731"/>
      <name val="Arial"/>
    </font>
    <font>
      <sz val="10.0"/>
      <color rgb="FF000000"/>
      <name val="Arial"/>
    </font>
    <font>
      <sz val="10.0"/>
      <name val="Arial"/>
    </font>
    <font>
      <b/>
      <sz val="10.0"/>
      <color rgb="FF000000"/>
      <name val="Arial"/>
    </font>
    <font>
      <b/>
      <sz val="20.0"/>
      <color rgb="FFFFFFFF"/>
      <name val="Arial"/>
    </font>
    <font>
      <b/>
      <sz val="18.0"/>
      <color rgb="FF1A4731"/>
      <name val="Arial"/>
    </font>
    <font>
      <b/>
      <sz val="18.0"/>
      <color rgb="FFB7950B"/>
      <name val="Arial"/>
    </font>
    <font>
      <b/>
      <sz val="9.0"/>
      <color rgb="FF1A4731"/>
      <name val="Arial"/>
    </font>
    <font>
      <sz val="9.0"/>
      <color rgb="FFC0392B"/>
      <name val="Arial"/>
    </font>
    <font>
      <b/>
      <sz val="9.0"/>
      <color rgb="FF404040"/>
      <name val="Arial"/>
    </font>
    <font>
      <b/>
      <sz val="9.0"/>
      <color rgb="FFC0392B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1A4731"/>
        <bgColor rgb="FF1A4731"/>
      </patternFill>
    </fill>
    <fill>
      <patternFill patternType="solid">
        <fgColor rgb="FF2D6A4F"/>
        <bgColor rgb="FF2D6A4F"/>
      </patternFill>
    </fill>
    <fill>
      <patternFill patternType="solid">
        <fgColor rgb="FF40916C"/>
        <bgColor rgb="FF40916C"/>
      </patternFill>
    </fill>
    <fill>
      <patternFill patternType="solid">
        <fgColor rgb="FFB7950B"/>
        <bgColor rgb="FFB7950B"/>
      </patternFill>
    </fill>
    <fill>
      <patternFill patternType="solid">
        <fgColor rgb="FFD8F3DC"/>
        <bgColor rgb="FFD8F3DC"/>
      </patternFill>
    </fill>
    <fill>
      <patternFill patternType="solid">
        <fgColor rgb="FFFEF9E7"/>
        <bgColor rgb="FFFEF9E7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404040"/>
        <bgColor rgb="FF404040"/>
      </patternFill>
    </fill>
    <fill>
      <patternFill patternType="solid">
        <fgColor rgb="FFD9D9D9"/>
        <bgColor rgb="FFD9D9D9"/>
      </patternFill>
    </fill>
    <fill>
      <patternFill patternType="solid">
        <fgColor rgb="FFC0392B"/>
        <bgColor rgb="FFC0392B"/>
      </patternFill>
    </fill>
  </fills>
  <borders count="23">
    <border/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/>
    </border>
    <border>
      <left/>
      <right/>
    </border>
    <border>
      <left/>
      <right/>
      <bottom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  <border>
      <left style="thin">
        <color rgb="FFBDBDBD"/>
      </left>
      <top style="thin">
        <color rgb="FFBDBDBD"/>
      </top>
      <bottom style="thin">
        <color rgb="FFBDBDBD"/>
      </bottom>
    </border>
    <border>
      <top style="thin">
        <color rgb="FFBDBDBD"/>
      </top>
      <bottom style="thin">
        <color rgb="FFBDBDBD"/>
      </bottom>
    </border>
    <border>
      <right style="thin">
        <color rgb="FFBDBDBD"/>
      </right>
      <top style="thin">
        <color rgb="FFBDBDBD"/>
      </top>
      <bottom style="thin">
        <color rgb="FFBDBDBD"/>
      </bottom>
    </border>
    <border>
      <left style="medium">
        <color rgb="FF1A4731"/>
      </left>
      <top style="medium">
        <color rgb="FF1A4731"/>
      </top>
      <bottom style="medium">
        <color rgb="FF1A4731"/>
      </bottom>
    </border>
    <border>
      <top style="medium">
        <color rgb="FF1A4731"/>
      </top>
      <bottom style="medium">
        <color rgb="FF1A4731"/>
      </bottom>
    </border>
    <border>
      <right style="medium">
        <color rgb="FF1A4731"/>
      </right>
      <top style="medium">
        <color rgb="FF1A4731"/>
      </top>
      <bottom style="medium">
        <color rgb="FF1A4731"/>
      </bottom>
    </border>
  </borders>
  <cellStyleXfs count="1">
    <xf borderId="0" fillId="0" fontId="0" numFmtId="0" applyAlignment="1" applyFont="1"/>
  </cellStyleXfs>
  <cellXfs count="16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1" fillId="2" fontId="3" numFmtId="0" xfId="0" applyAlignment="1" applyBorder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9" fillId="5" fontId="1" numFmtId="0" xfId="0" applyBorder="1" applyFill="1" applyFont="1"/>
    <xf borderId="10" fillId="0" fontId="2" numFmtId="0" xfId="0" applyBorder="1" applyFont="1"/>
    <xf borderId="11" fillId="0" fontId="2" numFmtId="0" xfId="0" applyBorder="1" applyFont="1"/>
    <xf borderId="9" fillId="3" fontId="6" numFmtId="0" xfId="0" applyAlignment="1" applyBorder="1" applyFont="1">
      <alignment horizontal="center" shrinkToFit="0" vertical="center" wrapText="1"/>
    </xf>
    <xf borderId="9" fillId="5" fontId="6" numFmtId="0" xfId="0" applyAlignment="1" applyBorder="1" applyFont="1">
      <alignment horizontal="center" shrinkToFit="0" vertical="center" wrapText="1"/>
    </xf>
    <xf borderId="12" fillId="3" fontId="6" numFmtId="0" xfId="0" applyAlignment="1" applyBorder="1" applyFont="1">
      <alignment horizontal="center" shrinkToFit="0" vertical="center" wrapText="1"/>
    </xf>
    <xf borderId="1" fillId="6" fontId="7" numFmtId="0" xfId="0" applyAlignment="1" applyBorder="1" applyFill="1" applyFont="1">
      <alignment horizontal="center" shrinkToFit="0" vertical="center" wrapText="1"/>
    </xf>
    <xf borderId="1" fillId="7" fontId="8" numFmtId="0" xfId="0" applyAlignment="1" applyBorder="1" applyFill="1" applyFont="1">
      <alignment horizontal="center" shrinkToFit="0" vertical="center" wrapText="1"/>
    </xf>
    <xf borderId="13" fillId="6" fontId="7" numFmtId="0" xfId="0" applyAlignment="1" applyBorder="1" applyFont="1">
      <alignment horizontal="center" shrinkToFit="0" vertical="center" wrapText="1"/>
    </xf>
    <xf borderId="14" fillId="0" fontId="2" numFmtId="0" xfId="0" applyBorder="1" applyFont="1"/>
    <xf borderId="15" fillId="0" fontId="2" numFmtId="0" xfId="0" applyBorder="1" applyFont="1"/>
    <xf borderId="9" fillId="8" fontId="9" numFmtId="0" xfId="0" applyAlignment="1" applyBorder="1" applyFill="1" applyFont="1">
      <alignment horizontal="center" shrinkToFit="0" vertical="center" wrapText="1"/>
    </xf>
    <xf borderId="12" fillId="8" fontId="9" numFmtId="0" xfId="0" applyAlignment="1" applyBorder="1" applyFont="1">
      <alignment horizontal="center" shrinkToFit="0" vertical="center" wrapText="1"/>
    </xf>
    <xf borderId="9" fillId="2" fontId="10" numFmtId="0" xfId="0" applyAlignment="1" applyBorder="1" applyFont="1">
      <alignment horizontal="center" shrinkToFit="0" vertical="center" wrapText="1"/>
    </xf>
    <xf borderId="16" fillId="3" fontId="11" numFmtId="0" xfId="0" applyAlignment="1" applyBorder="1" applyFont="1">
      <alignment horizontal="center" shrinkToFit="0" vertical="center" wrapText="1"/>
    </xf>
    <xf borderId="17" fillId="6" fontId="12" numFmtId="0" xfId="0" applyAlignment="1" applyBorder="1" applyFont="1">
      <alignment horizontal="left" shrinkToFit="0" vertical="center" wrapText="1"/>
    </xf>
    <xf borderId="18" fillId="0" fontId="2" numFmtId="0" xfId="0" applyBorder="1" applyFont="1"/>
    <xf borderId="19" fillId="0" fontId="2" numFmtId="0" xfId="0" applyBorder="1" applyFont="1"/>
    <xf borderId="17" fillId="6" fontId="13" numFmtId="0" xfId="0" applyAlignment="1" applyBorder="1" applyFont="1">
      <alignment horizontal="left" shrinkToFit="0" vertical="center" wrapText="1"/>
    </xf>
    <xf borderId="17" fillId="9" fontId="12" numFmtId="0" xfId="0" applyAlignment="1" applyBorder="1" applyFill="1" applyFont="1">
      <alignment horizontal="left" shrinkToFit="0" vertical="center" wrapText="1"/>
    </xf>
    <xf borderId="17" fillId="9" fontId="13" numFmtId="0" xfId="0" applyAlignment="1" applyBorder="1" applyFont="1">
      <alignment horizontal="left" shrinkToFit="0" vertical="center" wrapText="1"/>
    </xf>
    <xf borderId="1" fillId="10" fontId="14" numFmtId="0" xfId="0" applyAlignment="1" applyBorder="1" applyFill="1" applyFont="1">
      <alignment horizontal="center" shrinkToFit="0" vertical="center" wrapText="1"/>
    </xf>
    <xf borderId="9" fillId="2" fontId="15" numFmtId="0" xfId="0" applyAlignment="1" applyBorder="1" applyFont="1">
      <alignment horizontal="center" shrinkToFit="0" vertical="center" wrapText="1"/>
    </xf>
    <xf borderId="9" fillId="7" fontId="16" numFmtId="0" xfId="0" applyAlignment="1" applyBorder="1" applyFont="1">
      <alignment horizontal="center" shrinkToFit="0" vertical="center" wrapText="1"/>
    </xf>
    <xf borderId="16" fillId="4" fontId="11" numFmtId="0" xfId="0" applyAlignment="1" applyBorder="1" applyFont="1">
      <alignment horizontal="center" shrinkToFit="0" vertical="center" wrapText="1"/>
    </xf>
    <xf borderId="20" fillId="3" fontId="17" numFmtId="0" xfId="0" applyAlignment="1" applyBorder="1" applyFont="1">
      <alignment horizontal="left" shrinkToFit="0" vertical="center" wrapText="1"/>
    </xf>
    <xf borderId="21" fillId="0" fontId="2" numFmtId="0" xfId="0" applyBorder="1" applyFont="1"/>
    <xf borderId="22" fillId="0" fontId="2" numFmtId="0" xfId="0" applyBorder="1" applyFont="1"/>
    <xf borderId="16" fillId="9" fontId="13" numFmtId="0" xfId="0" applyAlignment="1" applyBorder="1" applyFont="1">
      <alignment horizontal="left" shrinkToFit="0" vertical="center" wrapText="1"/>
    </xf>
    <xf borderId="16" fillId="9" fontId="18" numFmtId="3" xfId="0" applyAlignment="1" applyBorder="1" applyFont="1" applyNumberFormat="1">
      <alignment horizontal="center" shrinkToFit="0" vertical="center" wrapText="1"/>
    </xf>
    <xf borderId="16" fillId="9" fontId="13" numFmtId="0" xfId="0" applyAlignment="1" applyBorder="1" applyFont="1">
      <alignment horizontal="center" shrinkToFit="0" vertical="center" wrapText="1"/>
    </xf>
    <xf borderId="16" fillId="9" fontId="9" numFmtId="0" xfId="0" applyAlignment="1" applyBorder="1" applyFont="1">
      <alignment horizontal="left" shrinkToFit="0" vertical="center" wrapText="1"/>
    </xf>
    <xf borderId="16" fillId="6" fontId="13" numFmtId="0" xfId="0" applyAlignment="1" applyBorder="1" applyFont="1">
      <alignment horizontal="left" shrinkToFit="0" vertical="center" wrapText="1"/>
    </xf>
    <xf borderId="16" fillId="6" fontId="18" numFmtId="164" xfId="0" applyAlignment="1" applyBorder="1" applyFont="1" applyNumberFormat="1">
      <alignment horizontal="center" shrinkToFit="0" vertical="center" wrapText="1"/>
    </xf>
    <xf borderId="16" fillId="6" fontId="13" numFmtId="0" xfId="0" applyAlignment="1" applyBorder="1" applyFont="1">
      <alignment horizontal="center" shrinkToFit="0" vertical="center" wrapText="1"/>
    </xf>
    <xf borderId="16" fillId="6" fontId="9" numFmtId="0" xfId="0" applyAlignment="1" applyBorder="1" applyFont="1">
      <alignment horizontal="left" shrinkToFit="0" vertical="center" wrapText="1"/>
    </xf>
    <xf borderId="16" fillId="6" fontId="18" numFmtId="3" xfId="0" applyAlignment="1" applyBorder="1" applyFont="1" applyNumberFormat="1">
      <alignment horizontal="center" shrinkToFit="0" vertical="center" wrapText="1"/>
    </xf>
    <xf borderId="16" fillId="9" fontId="18" numFmtId="164" xfId="0" applyAlignment="1" applyBorder="1" applyFont="1" applyNumberFormat="1">
      <alignment horizontal="center" shrinkToFit="0" vertical="center" wrapText="1"/>
    </xf>
    <xf borderId="20" fillId="4" fontId="17" numFmtId="0" xfId="0" applyAlignment="1" applyBorder="1" applyFont="1">
      <alignment horizontal="left" shrinkToFit="0" vertical="center" wrapText="1"/>
    </xf>
    <xf borderId="16" fillId="11" fontId="19" numFmtId="0" xfId="0" applyAlignment="1" applyBorder="1" applyFill="1" applyFont="1">
      <alignment horizontal="left" shrinkToFit="0" vertical="center" wrapText="1"/>
    </xf>
    <xf borderId="16" fillId="11" fontId="20" numFmtId="3" xfId="0" applyAlignment="1" applyBorder="1" applyFont="1" applyNumberFormat="1">
      <alignment horizontal="center" shrinkToFit="0" vertical="center" wrapText="1"/>
    </xf>
    <xf borderId="16" fillId="11" fontId="19" numFmtId="0" xfId="0" applyAlignment="1" applyBorder="1" applyFont="1">
      <alignment horizontal="center" shrinkToFit="0" vertical="center" wrapText="1"/>
    </xf>
    <xf borderId="16" fillId="11" fontId="9" numFmtId="0" xfId="0" applyAlignment="1" applyBorder="1" applyFont="1">
      <alignment horizontal="left" shrinkToFit="0" vertical="center" wrapText="1"/>
    </xf>
    <xf borderId="20" fillId="5" fontId="17" numFmtId="0" xfId="0" applyAlignment="1" applyBorder="1" applyFont="1">
      <alignment horizontal="left" shrinkToFit="0" vertical="center" wrapText="1"/>
    </xf>
    <xf borderId="16" fillId="7" fontId="13" numFmtId="0" xfId="0" applyAlignment="1" applyBorder="1" applyFont="1">
      <alignment horizontal="left" shrinkToFit="0" vertical="center" wrapText="1"/>
    </xf>
    <xf borderId="16" fillId="7" fontId="18" numFmtId="3" xfId="0" applyAlignment="1" applyBorder="1" applyFont="1" applyNumberFormat="1">
      <alignment horizontal="center" shrinkToFit="0" vertical="center" wrapText="1"/>
    </xf>
    <xf borderId="16" fillId="7" fontId="13" numFmtId="0" xfId="0" applyAlignment="1" applyBorder="1" applyFont="1">
      <alignment horizontal="center" shrinkToFit="0" vertical="center" wrapText="1"/>
    </xf>
    <xf borderId="16" fillId="7" fontId="9" numFmtId="0" xfId="0" applyAlignment="1" applyBorder="1" applyFont="1">
      <alignment horizontal="left" shrinkToFit="0" vertical="center" wrapText="1"/>
    </xf>
    <xf borderId="16" fillId="7" fontId="18" numFmtId="164" xfId="0" applyAlignment="1" applyBorder="1" applyFont="1" applyNumberFormat="1">
      <alignment horizontal="center" shrinkToFit="0" vertical="center" wrapText="1"/>
    </xf>
    <xf borderId="17" fillId="10" fontId="17" numFmtId="0" xfId="0" applyAlignment="1" applyBorder="1" applyFont="1">
      <alignment horizontal="center" shrinkToFit="0" vertical="center" wrapText="1"/>
    </xf>
    <xf borderId="16" fillId="4" fontId="17" numFmtId="0" xfId="0" applyAlignment="1" applyBorder="1" applyFont="1">
      <alignment horizontal="center" shrinkToFit="0" vertical="center" wrapText="1"/>
    </xf>
    <xf borderId="17" fillId="5" fontId="17" numFmtId="0" xfId="0" applyAlignment="1" applyBorder="1" applyFont="1">
      <alignment horizontal="center" shrinkToFit="0" vertical="center" wrapText="1"/>
    </xf>
    <xf borderId="16" fillId="6" fontId="21" numFmtId="0" xfId="0" applyAlignment="1" applyBorder="1" applyFont="1">
      <alignment horizontal="center" shrinkToFit="0" vertical="center" wrapText="1"/>
    </xf>
    <xf borderId="17" fillId="7" fontId="21" numFmtId="0" xfId="0" applyAlignment="1" applyBorder="1" applyFont="1">
      <alignment horizontal="center" shrinkToFit="0" vertical="center" wrapText="1"/>
    </xf>
    <xf borderId="16" fillId="9" fontId="21" numFmtId="0" xfId="0" applyAlignment="1" applyBorder="1" applyFont="1">
      <alignment horizontal="center" shrinkToFit="0" vertical="center" wrapText="1"/>
    </xf>
    <xf borderId="17" fillId="3" fontId="11" numFmtId="0" xfId="0" applyAlignment="1" applyBorder="1" applyFont="1">
      <alignment horizontal="left" shrinkToFit="0" vertical="center" wrapText="1"/>
    </xf>
    <xf borderId="16" fillId="3" fontId="22" numFmtId="0" xfId="0" applyAlignment="1" applyBorder="1" applyFont="1">
      <alignment horizontal="center" shrinkToFit="0" vertical="center" wrapText="1"/>
    </xf>
    <xf borderId="17" fillId="3" fontId="22" numFmtId="0" xfId="0" applyAlignment="1" applyBorder="1" applyFont="1">
      <alignment horizontal="center" shrinkToFit="0" vertical="center" wrapText="1"/>
    </xf>
    <xf borderId="16" fillId="9" fontId="22" numFmtId="0" xfId="0" applyAlignment="1" applyBorder="1" applyFont="1">
      <alignment horizontal="center" shrinkToFit="0" vertical="center" wrapText="1"/>
    </xf>
    <xf borderId="16" fillId="6" fontId="22" numFmtId="0" xfId="0" applyAlignment="1" applyBorder="1" applyFont="1">
      <alignment horizontal="center" shrinkToFit="0" vertical="center" wrapText="1"/>
    </xf>
    <xf borderId="20" fillId="2" fontId="17" numFmtId="0" xfId="0" applyAlignment="1" applyBorder="1" applyFont="1">
      <alignment horizontal="left" shrinkToFit="0" vertical="center" wrapText="1"/>
    </xf>
    <xf borderId="16" fillId="6" fontId="19" numFmtId="0" xfId="0" applyAlignment="1" applyBorder="1" applyFont="1">
      <alignment horizontal="left" shrinkToFit="0" vertical="center" wrapText="1"/>
    </xf>
    <xf borderId="16" fillId="6" fontId="20" numFmtId="165" xfId="0" applyAlignment="1" applyBorder="1" applyFont="1" applyNumberFormat="1">
      <alignment horizontal="right" vertical="center"/>
    </xf>
    <xf borderId="16" fillId="7" fontId="16" numFmtId="165" xfId="0" applyAlignment="1" applyBorder="1" applyFont="1" applyNumberFormat="1">
      <alignment horizontal="right" vertical="center"/>
    </xf>
    <xf borderId="16" fillId="9" fontId="19" numFmtId="0" xfId="0" applyAlignment="1" applyBorder="1" applyFont="1">
      <alignment horizontal="left" shrinkToFit="0" vertical="center" wrapText="1"/>
    </xf>
    <xf borderId="16" fillId="9" fontId="20" numFmtId="165" xfId="0" applyAlignment="1" applyBorder="1" applyFont="1" applyNumberFormat="1">
      <alignment horizontal="right" vertical="center"/>
    </xf>
    <xf borderId="16" fillId="9" fontId="18" numFmtId="164" xfId="0" applyAlignment="1" applyBorder="1" applyFont="1" applyNumberFormat="1">
      <alignment horizontal="right" vertical="center"/>
    </xf>
    <xf borderId="16" fillId="6" fontId="18" numFmtId="165" xfId="0" applyAlignment="1" applyBorder="1" applyFont="1" applyNumberFormat="1">
      <alignment horizontal="right" vertical="center"/>
    </xf>
    <xf borderId="16" fillId="9" fontId="18" numFmtId="165" xfId="0" applyAlignment="1" applyBorder="1" applyFont="1" applyNumberFormat="1">
      <alignment horizontal="right" vertical="center"/>
    </xf>
    <xf borderId="9" fillId="6" fontId="23" numFmtId="0" xfId="0" applyAlignment="1" applyBorder="1" applyFont="1">
      <alignment horizontal="center" shrinkToFit="0" vertical="center" wrapText="1"/>
    </xf>
    <xf borderId="16" fillId="4" fontId="6" numFmtId="0" xfId="0" applyAlignment="1" applyBorder="1" applyFont="1">
      <alignment horizontal="center" shrinkToFit="0" vertical="center" wrapText="1"/>
    </xf>
    <xf borderId="16" fillId="6" fontId="18" numFmtId="166" xfId="0" applyAlignment="1" applyBorder="1" applyFont="1" applyNumberFormat="1">
      <alignment horizontal="center" shrinkToFit="0" vertical="center" wrapText="1"/>
    </xf>
    <xf borderId="16" fillId="9" fontId="18" numFmtId="166" xfId="0" applyAlignment="1" applyBorder="1" applyFont="1" applyNumberFormat="1">
      <alignment horizontal="center" shrinkToFit="0" vertical="center" wrapText="1"/>
    </xf>
    <xf borderId="16" fillId="2" fontId="11" numFmtId="0" xfId="0" applyAlignment="1" applyBorder="1" applyFont="1">
      <alignment horizontal="left" shrinkToFit="0" vertical="center" wrapText="1"/>
    </xf>
    <xf borderId="16" fillId="2" fontId="1" numFmtId="0" xfId="0" applyBorder="1" applyFont="1"/>
    <xf borderId="16" fillId="2" fontId="11" numFmtId="3" xfId="0" applyAlignment="1" applyBorder="1" applyFont="1" applyNumberFormat="1">
      <alignment horizontal="center" shrinkToFit="0" vertical="center" wrapText="1"/>
    </xf>
    <xf borderId="16" fillId="2" fontId="11" numFmtId="166" xfId="0" applyAlignment="1" applyBorder="1" applyFont="1" applyNumberFormat="1">
      <alignment horizontal="center" shrinkToFit="0" vertical="center" wrapText="1"/>
    </xf>
    <xf borderId="16" fillId="6" fontId="13" numFmtId="3" xfId="0" applyAlignment="1" applyBorder="1" applyFont="1" applyNumberFormat="1">
      <alignment horizontal="center" shrinkToFit="0" vertical="center" wrapText="1"/>
    </xf>
    <xf borderId="16" fillId="6" fontId="13" numFmtId="167" xfId="0" applyAlignment="1" applyBorder="1" applyFont="1" applyNumberFormat="1">
      <alignment horizontal="center" shrinkToFit="0" vertical="center" wrapText="1"/>
    </xf>
    <xf borderId="16" fillId="6" fontId="13" numFmtId="166" xfId="0" applyAlignment="1" applyBorder="1" applyFont="1" applyNumberFormat="1">
      <alignment horizontal="center" shrinkToFit="0" vertical="center" wrapText="1"/>
    </xf>
    <xf borderId="16" fillId="9" fontId="13" numFmtId="3" xfId="0" applyAlignment="1" applyBorder="1" applyFont="1" applyNumberFormat="1">
      <alignment horizontal="center" shrinkToFit="0" vertical="center" wrapText="1"/>
    </xf>
    <xf borderId="16" fillId="9" fontId="13" numFmtId="167" xfId="0" applyAlignment="1" applyBorder="1" applyFont="1" applyNumberFormat="1">
      <alignment horizontal="center" shrinkToFit="0" vertical="center" wrapText="1"/>
    </xf>
    <xf borderId="16" fillId="9" fontId="13" numFmtId="166" xfId="0" applyAlignment="1" applyBorder="1" applyFont="1" applyNumberFormat="1">
      <alignment horizontal="center" shrinkToFit="0" vertical="center" wrapText="1"/>
    </xf>
    <xf borderId="16" fillId="7" fontId="12" numFmtId="0" xfId="0" applyAlignment="1" applyBorder="1" applyFont="1">
      <alignment horizontal="left" shrinkToFit="0" vertical="center" wrapText="1"/>
    </xf>
    <xf borderId="16" fillId="7" fontId="12" numFmtId="3" xfId="0" applyAlignment="1" applyBorder="1" applyFont="1" applyNumberFormat="1">
      <alignment horizontal="center" shrinkToFit="0" vertical="center" wrapText="1"/>
    </xf>
    <xf borderId="16" fillId="7" fontId="12" numFmtId="167" xfId="0" applyAlignment="1" applyBorder="1" applyFont="1" applyNumberFormat="1">
      <alignment horizontal="center" shrinkToFit="0" vertical="center" wrapText="1"/>
    </xf>
    <xf borderId="16" fillId="7" fontId="12" numFmtId="166" xfId="0" applyAlignment="1" applyBorder="1" applyFont="1" applyNumberFormat="1">
      <alignment horizontal="center" shrinkToFit="0" vertical="center" wrapText="1"/>
    </xf>
    <xf borderId="16" fillId="7" fontId="12" numFmtId="0" xfId="0" applyAlignment="1" applyBorder="1" applyFont="1">
      <alignment horizontal="center" shrinkToFit="0" vertical="center" wrapText="1"/>
    </xf>
    <xf borderId="16" fillId="9" fontId="18" numFmtId="166" xfId="0" applyAlignment="1" applyBorder="1" applyFont="1" applyNumberFormat="1">
      <alignment horizontal="right" vertical="center"/>
    </xf>
    <xf borderId="16" fillId="6" fontId="18" numFmtId="166" xfId="0" applyAlignment="1" applyBorder="1" applyFont="1" applyNumberFormat="1">
      <alignment horizontal="right" vertical="center"/>
    </xf>
    <xf borderId="16" fillId="11" fontId="19" numFmtId="166" xfId="0" applyAlignment="1" applyBorder="1" applyFont="1" applyNumberFormat="1">
      <alignment horizontal="right" vertical="center"/>
    </xf>
    <xf borderId="17" fillId="2" fontId="10" numFmtId="0" xfId="0" applyAlignment="1" applyBorder="1" applyFont="1">
      <alignment horizontal="left" shrinkToFit="0" vertical="center" wrapText="1"/>
    </xf>
    <xf borderId="16" fillId="2" fontId="10" numFmtId="166" xfId="0" applyAlignment="1" applyBorder="1" applyFont="1" applyNumberFormat="1">
      <alignment horizontal="right" vertical="center"/>
    </xf>
    <xf borderId="17" fillId="4" fontId="10" numFmtId="0" xfId="0" applyAlignment="1" applyBorder="1" applyFont="1">
      <alignment horizontal="left" shrinkToFit="0" vertical="center" wrapText="1"/>
    </xf>
    <xf borderId="16" fillId="4" fontId="10" numFmtId="166" xfId="0" applyAlignment="1" applyBorder="1" applyFont="1" applyNumberFormat="1">
      <alignment horizontal="right" vertical="center"/>
    </xf>
    <xf borderId="9" fillId="2" fontId="24" numFmtId="0" xfId="0" applyAlignment="1" applyBorder="1" applyFont="1">
      <alignment horizontal="center" shrinkToFit="0" vertical="center" wrapText="1"/>
    </xf>
    <xf borderId="9" fillId="6" fontId="25" numFmtId="0" xfId="0" applyAlignment="1" applyBorder="1" applyFont="1">
      <alignment horizontal="center" shrinkToFit="0" vertical="center" wrapText="1"/>
    </xf>
    <xf borderId="16" fillId="10" fontId="11" numFmtId="0" xfId="0" applyAlignment="1" applyBorder="1" applyFont="1">
      <alignment horizontal="center" shrinkToFit="0" vertical="center" wrapText="1"/>
    </xf>
    <xf borderId="16" fillId="2" fontId="11" numFmtId="0" xfId="0" applyAlignment="1" applyBorder="1" applyFont="1">
      <alignment horizontal="center" shrinkToFit="0" vertical="center" wrapText="1"/>
    </xf>
    <xf borderId="20" fillId="12" fontId="17" numFmtId="0" xfId="0" applyAlignment="1" applyBorder="1" applyFill="1" applyFont="1">
      <alignment horizontal="left" shrinkToFit="0" vertical="center" wrapText="1"/>
    </xf>
    <xf borderId="16" fillId="9" fontId="22" numFmtId="165" xfId="0" applyAlignment="1" applyBorder="1" applyFont="1" applyNumberFormat="1">
      <alignment horizontal="right" vertical="center"/>
    </xf>
    <xf borderId="16" fillId="8" fontId="13" numFmtId="0" xfId="0" applyAlignment="1" applyBorder="1" applyFont="1">
      <alignment horizontal="left" shrinkToFit="0" vertical="center" wrapText="1"/>
    </xf>
    <xf borderId="16" fillId="8" fontId="18" numFmtId="165" xfId="0" applyAlignment="1" applyBorder="1" applyFont="1" applyNumberFormat="1">
      <alignment horizontal="right" vertical="center"/>
    </xf>
    <xf borderId="16" fillId="8" fontId="22" numFmtId="165" xfId="0" applyAlignment="1" applyBorder="1" applyFont="1" applyNumberFormat="1">
      <alignment horizontal="right" vertical="center"/>
    </xf>
    <xf borderId="16" fillId="12" fontId="11" numFmtId="0" xfId="0" applyAlignment="1" applyBorder="1" applyFont="1">
      <alignment horizontal="left" shrinkToFit="0" vertical="center" wrapText="1"/>
    </xf>
    <xf borderId="16" fillId="12" fontId="11" numFmtId="165" xfId="0" applyAlignment="1" applyBorder="1" applyFont="1" applyNumberFormat="1">
      <alignment horizontal="right" vertical="center"/>
    </xf>
    <xf borderId="16" fillId="6" fontId="26" numFmtId="165" xfId="0" applyAlignment="1" applyBorder="1" applyFont="1" applyNumberFormat="1">
      <alignment horizontal="right" vertical="center"/>
    </xf>
    <xf borderId="16" fillId="9" fontId="26" numFmtId="165" xfId="0" applyAlignment="1" applyBorder="1" applyFont="1" applyNumberFormat="1">
      <alignment horizontal="right" vertical="center"/>
    </xf>
    <xf borderId="16" fillId="4" fontId="11" numFmtId="0" xfId="0" applyAlignment="1" applyBorder="1" applyFont="1">
      <alignment horizontal="left" shrinkToFit="0" vertical="center" wrapText="1"/>
    </xf>
    <xf borderId="16" fillId="4" fontId="11" numFmtId="165" xfId="0" applyAlignment="1" applyBorder="1" applyFont="1" applyNumberFormat="1">
      <alignment horizontal="right" vertical="center"/>
    </xf>
    <xf borderId="16" fillId="3" fontId="17" numFmtId="0" xfId="0" applyAlignment="1" applyBorder="1" applyFont="1">
      <alignment horizontal="left" shrinkToFit="0" vertical="center" wrapText="1"/>
    </xf>
    <xf borderId="16" fillId="3" fontId="17" numFmtId="165" xfId="0" applyAlignment="1" applyBorder="1" applyFont="1" applyNumberFormat="1">
      <alignment horizontal="right" vertical="center"/>
    </xf>
    <xf borderId="16" fillId="2" fontId="17" numFmtId="0" xfId="0" applyAlignment="1" applyBorder="1" applyFont="1">
      <alignment horizontal="left" shrinkToFit="0" vertical="center" wrapText="1"/>
    </xf>
    <xf borderId="16" fillId="2" fontId="17" numFmtId="165" xfId="0" applyAlignment="1" applyBorder="1" applyFont="1" applyNumberFormat="1">
      <alignment horizontal="right" vertical="center"/>
    </xf>
    <xf borderId="16" fillId="5" fontId="11" numFmtId="0" xfId="0" applyAlignment="1" applyBorder="1" applyFont="1">
      <alignment horizontal="center" shrinkToFit="0" vertical="center" wrapText="1"/>
    </xf>
    <xf borderId="16" fillId="9" fontId="27" numFmtId="165" xfId="0" applyAlignment="1" applyBorder="1" applyFont="1" applyNumberFormat="1">
      <alignment horizontal="right" vertical="center"/>
    </xf>
    <xf borderId="16" fillId="7" fontId="18" numFmtId="165" xfId="0" applyAlignment="1" applyBorder="1" applyFont="1" applyNumberFormat="1">
      <alignment horizontal="right" vertical="center"/>
    </xf>
    <xf borderId="16" fillId="7" fontId="27" numFmtId="165" xfId="0" applyAlignment="1" applyBorder="1" applyFont="1" applyNumberFormat="1">
      <alignment horizontal="right" vertical="center"/>
    </xf>
    <xf borderId="17" fillId="4" fontId="11" numFmtId="0" xfId="0" applyAlignment="1" applyBorder="1" applyFont="1">
      <alignment horizontal="center" shrinkToFit="0" vertical="center" wrapText="1"/>
    </xf>
    <xf borderId="16" fillId="8" fontId="13" numFmtId="0" xfId="0" applyAlignment="1" applyBorder="1" applyFont="1">
      <alignment horizontal="center" shrinkToFit="0" vertical="center" wrapText="1"/>
    </xf>
    <xf borderId="16" fillId="9" fontId="26" numFmtId="166" xfId="0" applyAlignment="1" applyBorder="1" applyFont="1" applyNumberFormat="1">
      <alignment horizontal="right" vertical="center"/>
    </xf>
    <xf borderId="16" fillId="9" fontId="25" numFmtId="166" xfId="0" applyAlignment="1" applyBorder="1" applyFont="1" applyNumberFormat="1">
      <alignment horizontal="right" vertical="center"/>
    </xf>
    <xf borderId="16" fillId="6" fontId="28" numFmtId="166" xfId="0" applyAlignment="1" applyBorder="1" applyFont="1" applyNumberFormat="1">
      <alignment horizontal="right" vertical="center"/>
    </xf>
    <xf borderId="16" fillId="6" fontId="12" numFmtId="166" xfId="0" applyAlignment="1" applyBorder="1" applyFont="1" applyNumberFormat="1">
      <alignment horizontal="right" vertical="center"/>
    </xf>
    <xf borderId="16" fillId="7" fontId="28" numFmtId="166" xfId="0" applyAlignment="1" applyBorder="1" applyFont="1" applyNumberFormat="1">
      <alignment horizontal="right" vertical="center"/>
    </xf>
    <xf borderId="16" fillId="7" fontId="12" numFmtId="166" xfId="0" applyAlignment="1" applyBorder="1" applyFont="1" applyNumberFormat="1">
      <alignment horizontal="right" vertical="center"/>
    </xf>
    <xf borderId="1" fillId="2" fontId="29" numFmtId="0" xfId="0" applyAlignment="1" applyBorder="1" applyFont="1">
      <alignment horizontal="center" shrinkToFit="0" vertical="center" wrapText="1"/>
    </xf>
    <xf borderId="9" fillId="4" fontId="6" numFmtId="0" xfId="0" applyAlignment="1" applyBorder="1" applyFont="1">
      <alignment horizontal="center" shrinkToFit="0" vertical="center" wrapText="1"/>
    </xf>
    <xf borderId="1" fillId="6" fontId="30" numFmtId="0" xfId="0" applyAlignment="1" applyBorder="1" applyFont="1">
      <alignment horizontal="center" shrinkToFit="0" vertical="center" wrapText="1"/>
    </xf>
    <xf borderId="1" fillId="7" fontId="31" numFmtId="0" xfId="0" applyAlignment="1" applyBorder="1" applyFont="1">
      <alignment horizontal="center" shrinkToFit="0" vertical="center" wrapText="1"/>
    </xf>
    <xf borderId="13" fillId="6" fontId="30" numFmtId="0" xfId="0" applyAlignment="1" applyBorder="1" applyFont="1">
      <alignment horizontal="center" shrinkToFit="0" vertical="center" wrapText="1"/>
    </xf>
    <xf borderId="16" fillId="6" fontId="9" numFmtId="0" xfId="0" applyAlignment="1" applyBorder="1" applyFont="1">
      <alignment horizontal="center" shrinkToFit="0" vertical="center" wrapText="1"/>
    </xf>
    <xf borderId="16" fillId="7" fontId="32" numFmtId="0" xfId="0" applyAlignment="1" applyBorder="1" applyFont="1">
      <alignment horizontal="left" shrinkToFit="0" vertical="center" wrapText="1"/>
    </xf>
    <xf borderId="16" fillId="7" fontId="32" numFmtId="0" xfId="0" applyAlignment="1" applyBorder="1" applyFont="1">
      <alignment horizontal="center" shrinkToFit="0" vertical="center" wrapText="1"/>
    </xf>
    <xf borderId="9" fillId="3" fontId="10" numFmtId="0" xfId="0" applyAlignment="1" applyBorder="1" applyFont="1">
      <alignment horizontal="center" shrinkToFit="0" vertical="center" wrapText="1"/>
    </xf>
    <xf borderId="16" fillId="6" fontId="9" numFmtId="0" xfId="0" applyAlignment="1" applyBorder="1" applyFont="1">
      <alignment horizontal="right" vertical="center"/>
    </xf>
    <xf borderId="16" fillId="6" fontId="9" numFmtId="165" xfId="0" applyAlignment="1" applyBorder="1" applyFont="1" applyNumberFormat="1">
      <alignment horizontal="right" vertical="center"/>
    </xf>
    <xf borderId="16" fillId="9" fontId="9" numFmtId="0" xfId="0" applyAlignment="1" applyBorder="1" applyFont="1">
      <alignment horizontal="right" vertical="center"/>
    </xf>
    <xf borderId="16" fillId="9" fontId="9" numFmtId="165" xfId="0" applyAlignment="1" applyBorder="1" applyFont="1" applyNumberFormat="1">
      <alignment horizontal="right" vertical="center"/>
    </xf>
    <xf borderId="16" fillId="9" fontId="33" numFmtId="165" xfId="0" applyAlignment="1" applyBorder="1" applyFont="1" applyNumberFormat="1">
      <alignment horizontal="right" vertical="center"/>
    </xf>
    <xf borderId="16" fillId="6" fontId="33" numFmtId="165" xfId="0" applyAlignment="1" applyBorder="1" applyFont="1" applyNumberFormat="1">
      <alignment horizontal="right" vertical="center"/>
    </xf>
    <xf borderId="16" fillId="6" fontId="34" numFmtId="0" xfId="0" applyAlignment="1" applyBorder="1" applyFont="1">
      <alignment horizontal="left" shrinkToFit="0" vertical="center" wrapText="1"/>
    </xf>
    <xf borderId="16" fillId="6" fontId="34" numFmtId="0" xfId="0" applyAlignment="1" applyBorder="1" applyFont="1">
      <alignment horizontal="right" vertical="center"/>
    </xf>
    <xf borderId="16" fillId="6" fontId="35" numFmtId="165" xfId="0" applyAlignment="1" applyBorder="1" applyFont="1" applyNumberFormat="1">
      <alignment horizontal="right" vertical="center"/>
    </xf>
    <xf borderId="16" fillId="6" fontId="34" numFmtId="165" xfId="0" applyAlignment="1" applyBorder="1" applyFont="1" applyNumberFormat="1">
      <alignment horizontal="right" vertical="center"/>
    </xf>
    <xf borderId="16" fillId="7" fontId="34" numFmtId="0" xfId="0" applyAlignment="1" applyBorder="1" applyFont="1">
      <alignment horizontal="left" shrinkToFit="0" vertical="center" wrapText="1"/>
    </xf>
    <xf borderId="16" fillId="7" fontId="34" numFmtId="0" xfId="0" applyAlignment="1" applyBorder="1" applyFont="1">
      <alignment horizontal="right" vertical="center"/>
    </xf>
    <xf borderId="9" fillId="2" fontId="1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4731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5.0"/>
    <col customWidth="1" min="3" max="12" width="12.0"/>
  </cols>
  <sheetData>
    <row r="1" ht="7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7.5" customHeight="1">
      <c r="A2" s="4"/>
      <c r="L2" s="5"/>
    </row>
    <row r="3" ht="7.5" customHeight="1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8"/>
    </row>
    <row r="4" ht="60.0" customHeight="1">
      <c r="A4" s="9" t="s">
        <v>0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</row>
    <row r="5">
      <c r="A5" s="4"/>
      <c r="L5" s="5"/>
    </row>
    <row r="6">
      <c r="A6" s="4"/>
      <c r="L6" s="5"/>
    </row>
    <row r="7">
      <c r="A7" s="4"/>
      <c r="L7" s="5"/>
    </row>
    <row r="8">
      <c r="A8" s="4"/>
      <c r="L8" s="5"/>
    </row>
    <row r="9">
      <c r="A9" s="4"/>
      <c r="L9" s="5"/>
    </row>
    <row r="10">
      <c r="A10" s="6"/>
      <c r="B10" s="7"/>
      <c r="C10" s="7"/>
      <c r="D10" s="7"/>
      <c r="E10" s="7"/>
      <c r="F10" s="7"/>
      <c r="G10" s="7"/>
      <c r="H10" s="7"/>
      <c r="I10" s="7"/>
      <c r="J10" s="7"/>
      <c r="K10" s="7"/>
      <c r="L10" s="8"/>
    </row>
    <row r="11" ht="39.75" customHeight="1">
      <c r="A11" s="10" t="s">
        <v>1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3"/>
    </row>
    <row r="12">
      <c r="A12" s="4"/>
      <c r="L12" s="5"/>
    </row>
    <row r="13">
      <c r="A13" s="4"/>
      <c r="L13" s="5"/>
    </row>
    <row r="14">
      <c r="A14" s="6"/>
      <c r="B14" s="7"/>
      <c r="C14" s="7"/>
      <c r="D14" s="7"/>
      <c r="E14" s="7"/>
      <c r="F14" s="7"/>
      <c r="G14" s="7"/>
      <c r="H14" s="7"/>
      <c r="I14" s="7"/>
      <c r="J14" s="7"/>
      <c r="K14" s="7"/>
      <c r="L14" s="8"/>
    </row>
    <row r="15" ht="27.75" customHeight="1">
      <c r="A15" s="11" t="s">
        <v>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3"/>
    </row>
    <row r="16">
      <c r="A16" s="4"/>
      <c r="L16" s="5"/>
    </row>
    <row r="17">
      <c r="A17" s="6"/>
      <c r="B17" s="7"/>
      <c r="C17" s="7"/>
      <c r="D17" s="7"/>
      <c r="E17" s="7"/>
      <c r="F17" s="7"/>
      <c r="G17" s="7"/>
      <c r="H17" s="7"/>
      <c r="I17" s="7"/>
      <c r="J17" s="7"/>
      <c r="K17" s="7"/>
      <c r="L17" s="8"/>
    </row>
    <row r="18" ht="7.5" customHeight="1">
      <c r="A18" s="12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4"/>
    </row>
    <row r="19" ht="12.0" customHeight="1"/>
    <row r="20" ht="15.75" customHeight="1">
      <c r="B20" s="15" t="s">
        <v>3</v>
      </c>
      <c r="C20" s="13"/>
      <c r="D20" s="13"/>
      <c r="E20" s="14"/>
      <c r="F20" s="15" t="s">
        <v>4</v>
      </c>
      <c r="G20" s="13"/>
      <c r="H20" s="14"/>
      <c r="I20" s="16" t="s">
        <v>5</v>
      </c>
      <c r="J20" s="13"/>
      <c r="K20" s="14"/>
      <c r="L20" s="17" t="s">
        <v>6</v>
      </c>
    </row>
    <row r="21" ht="15.75" customHeight="1">
      <c r="B21" s="18" t="s">
        <v>7</v>
      </c>
      <c r="C21" s="2"/>
      <c r="D21" s="2"/>
      <c r="E21" s="3"/>
      <c r="F21" s="18" t="s">
        <v>8</v>
      </c>
      <c r="G21" s="2"/>
      <c r="H21" s="3"/>
      <c r="I21" s="19" t="s">
        <v>9</v>
      </c>
      <c r="J21" s="2"/>
      <c r="K21" s="3"/>
      <c r="L21" s="20" t="s">
        <v>10</v>
      </c>
    </row>
    <row r="22" ht="15.75" customHeight="1">
      <c r="B22" s="4"/>
      <c r="E22" s="5"/>
      <c r="F22" s="4"/>
      <c r="H22" s="5"/>
      <c r="I22" s="4"/>
      <c r="K22" s="5"/>
      <c r="L22" s="21"/>
    </row>
    <row r="23" ht="15.75" customHeight="1">
      <c r="B23" s="6"/>
      <c r="C23" s="7"/>
      <c r="D23" s="7"/>
      <c r="E23" s="8"/>
      <c r="F23" s="6"/>
      <c r="G23" s="7"/>
      <c r="H23" s="8"/>
      <c r="I23" s="6"/>
      <c r="J23" s="7"/>
      <c r="K23" s="8"/>
      <c r="L23" s="22"/>
    </row>
    <row r="24" ht="15.75" customHeight="1">
      <c r="B24" s="23" t="s">
        <v>11</v>
      </c>
      <c r="C24" s="13"/>
      <c r="D24" s="13"/>
      <c r="E24" s="14"/>
      <c r="F24" s="23" t="s">
        <v>12</v>
      </c>
      <c r="G24" s="13"/>
      <c r="H24" s="14"/>
      <c r="I24" s="23" t="s">
        <v>13</v>
      </c>
      <c r="J24" s="13"/>
      <c r="K24" s="14"/>
      <c r="L24" s="24" t="s">
        <v>14</v>
      </c>
    </row>
    <row r="25" ht="15.75" customHeight="1"/>
    <row r="26" ht="9.75" customHeight="1"/>
    <row r="27" ht="15.75" customHeight="1">
      <c r="B27" s="25" t="s">
        <v>15</v>
      </c>
      <c r="C27" s="13"/>
      <c r="D27" s="13"/>
      <c r="E27" s="13"/>
      <c r="F27" s="13"/>
      <c r="G27" s="13"/>
      <c r="H27" s="13"/>
      <c r="I27" s="13"/>
      <c r="J27" s="13"/>
      <c r="K27" s="13"/>
      <c r="L27" s="14"/>
    </row>
    <row r="28" ht="19.5" customHeight="1">
      <c r="B28" s="26" t="s">
        <v>16</v>
      </c>
      <c r="C28" s="27" t="s">
        <v>17</v>
      </c>
      <c r="D28" s="28"/>
      <c r="E28" s="29"/>
      <c r="F28" s="30" t="s">
        <v>18</v>
      </c>
      <c r="G28" s="28"/>
      <c r="H28" s="28"/>
      <c r="I28" s="28"/>
      <c r="J28" s="28"/>
      <c r="K28" s="28"/>
      <c r="L28" s="29"/>
    </row>
    <row r="29" ht="19.5" customHeight="1">
      <c r="B29" s="26" t="s">
        <v>19</v>
      </c>
      <c r="C29" s="31" t="s">
        <v>20</v>
      </c>
      <c r="D29" s="28"/>
      <c r="E29" s="29"/>
      <c r="F29" s="32" t="s">
        <v>21</v>
      </c>
      <c r="G29" s="28"/>
      <c r="H29" s="28"/>
      <c r="I29" s="28"/>
      <c r="J29" s="28"/>
      <c r="K29" s="28"/>
      <c r="L29" s="29"/>
    </row>
    <row r="30" ht="19.5" customHeight="1">
      <c r="B30" s="26" t="s">
        <v>22</v>
      </c>
      <c r="C30" s="27" t="s">
        <v>23</v>
      </c>
      <c r="D30" s="28"/>
      <c r="E30" s="29"/>
      <c r="F30" s="30" t="s">
        <v>24</v>
      </c>
      <c r="G30" s="28"/>
      <c r="H30" s="28"/>
      <c r="I30" s="28"/>
      <c r="J30" s="28"/>
      <c r="K30" s="28"/>
      <c r="L30" s="29"/>
    </row>
    <row r="31" ht="19.5" customHeight="1">
      <c r="B31" s="26" t="s">
        <v>25</v>
      </c>
      <c r="C31" s="31" t="s">
        <v>26</v>
      </c>
      <c r="D31" s="28"/>
      <c r="E31" s="29"/>
      <c r="F31" s="32" t="s">
        <v>27</v>
      </c>
      <c r="G31" s="28"/>
      <c r="H31" s="28"/>
      <c r="I31" s="28"/>
      <c r="J31" s="28"/>
      <c r="K31" s="28"/>
      <c r="L31" s="29"/>
    </row>
    <row r="32" ht="19.5" customHeight="1">
      <c r="B32" s="26" t="s">
        <v>28</v>
      </c>
      <c r="C32" s="27" t="s">
        <v>29</v>
      </c>
      <c r="D32" s="28"/>
      <c r="E32" s="29"/>
      <c r="F32" s="30" t="s">
        <v>30</v>
      </c>
      <c r="G32" s="28"/>
      <c r="H32" s="28"/>
      <c r="I32" s="28"/>
      <c r="J32" s="28"/>
      <c r="K32" s="28"/>
      <c r="L32" s="29"/>
    </row>
    <row r="33" ht="19.5" customHeight="1">
      <c r="B33" s="26" t="s">
        <v>31</v>
      </c>
      <c r="C33" s="31" t="s">
        <v>32</v>
      </c>
      <c r="D33" s="28"/>
      <c r="E33" s="29"/>
      <c r="F33" s="32" t="s">
        <v>33</v>
      </c>
      <c r="G33" s="28"/>
      <c r="H33" s="28"/>
      <c r="I33" s="28"/>
      <c r="J33" s="28"/>
      <c r="K33" s="28"/>
      <c r="L33" s="29"/>
    </row>
    <row r="34" ht="19.5" customHeight="1">
      <c r="B34" s="26" t="s">
        <v>34</v>
      </c>
      <c r="C34" s="27" t="s">
        <v>35</v>
      </c>
      <c r="D34" s="28"/>
      <c r="E34" s="29"/>
      <c r="F34" s="30" t="s">
        <v>36</v>
      </c>
      <c r="G34" s="28"/>
      <c r="H34" s="28"/>
      <c r="I34" s="28"/>
      <c r="J34" s="28"/>
      <c r="K34" s="28"/>
      <c r="L34" s="29"/>
    </row>
    <row r="35" ht="19.5" customHeight="1">
      <c r="B35" s="26" t="s">
        <v>37</v>
      </c>
      <c r="C35" s="31" t="s">
        <v>38</v>
      </c>
      <c r="D35" s="28"/>
      <c r="E35" s="29"/>
      <c r="F35" s="32" t="s">
        <v>39</v>
      </c>
      <c r="G35" s="28"/>
      <c r="H35" s="28"/>
      <c r="I35" s="28"/>
      <c r="J35" s="28"/>
      <c r="K35" s="28"/>
      <c r="L35" s="29"/>
    </row>
    <row r="36" ht="19.5" customHeight="1">
      <c r="B36" s="26" t="s">
        <v>40</v>
      </c>
      <c r="C36" s="27" t="s">
        <v>41</v>
      </c>
      <c r="D36" s="28"/>
      <c r="E36" s="29"/>
      <c r="F36" s="30" t="s">
        <v>42</v>
      </c>
      <c r="G36" s="28"/>
      <c r="H36" s="28"/>
      <c r="I36" s="28"/>
      <c r="J36" s="28"/>
      <c r="K36" s="28"/>
      <c r="L36" s="29"/>
    </row>
    <row r="37" ht="15.75" customHeight="1"/>
    <row r="38" ht="15.75" customHeight="1"/>
    <row r="39" ht="19.5" customHeight="1">
      <c r="A39" s="33" t="s">
        <v>43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3"/>
    </row>
    <row r="40" ht="15.75" customHeight="1">
      <c r="A40" s="6"/>
      <c r="B40" s="7"/>
      <c r="C40" s="7"/>
      <c r="D40" s="7"/>
      <c r="E40" s="7"/>
      <c r="F40" s="7"/>
      <c r="G40" s="7"/>
      <c r="H40" s="7"/>
      <c r="I40" s="7"/>
      <c r="J40" s="7"/>
      <c r="K40" s="7"/>
      <c r="L40" s="8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35">
    <mergeCell ref="F21:H23"/>
    <mergeCell ref="B24:E24"/>
    <mergeCell ref="B21:E23"/>
    <mergeCell ref="F24:H24"/>
    <mergeCell ref="C32:E32"/>
    <mergeCell ref="C33:E33"/>
    <mergeCell ref="F29:L29"/>
    <mergeCell ref="F30:L30"/>
    <mergeCell ref="F20:H20"/>
    <mergeCell ref="F33:L33"/>
    <mergeCell ref="B20:E20"/>
    <mergeCell ref="I24:K24"/>
    <mergeCell ref="C28:E28"/>
    <mergeCell ref="L21:L23"/>
    <mergeCell ref="C29:E29"/>
    <mergeCell ref="F36:L36"/>
    <mergeCell ref="F35:L35"/>
    <mergeCell ref="C36:E36"/>
    <mergeCell ref="A39:L40"/>
    <mergeCell ref="F34:L34"/>
    <mergeCell ref="C35:E35"/>
    <mergeCell ref="A4:L10"/>
    <mergeCell ref="A1:L3"/>
    <mergeCell ref="F32:L32"/>
    <mergeCell ref="F31:L31"/>
    <mergeCell ref="I21:K23"/>
    <mergeCell ref="I20:K20"/>
    <mergeCell ref="A15:L17"/>
    <mergeCell ref="A18:L18"/>
    <mergeCell ref="A11:L14"/>
    <mergeCell ref="F28:L28"/>
    <mergeCell ref="B27:L27"/>
    <mergeCell ref="C31:E31"/>
    <mergeCell ref="C30:E30"/>
    <mergeCell ref="C34:E3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D6A4F"/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38.0"/>
    <col customWidth="1" min="3" max="4" width="22.0"/>
    <col customWidth="1" min="5" max="5" width="35.0"/>
    <col customWidth="1" min="6" max="11" width="8.71"/>
  </cols>
  <sheetData>
    <row r="1" ht="39.75" customHeight="1">
      <c r="A1" s="34" t="s">
        <v>44</v>
      </c>
      <c r="B1" s="13"/>
      <c r="C1" s="13"/>
      <c r="D1" s="13"/>
      <c r="E1" s="14"/>
    </row>
    <row r="2" ht="18.0" customHeight="1">
      <c r="A2" s="35" t="s">
        <v>45</v>
      </c>
      <c r="B2" s="13"/>
      <c r="C2" s="13"/>
      <c r="D2" s="13"/>
      <c r="E2" s="14"/>
    </row>
    <row r="3" ht="25.5" customHeight="1">
      <c r="B3" s="36" t="s">
        <v>46</v>
      </c>
      <c r="C3" s="36" t="s">
        <v>47</v>
      </c>
      <c r="D3" s="36" t="s">
        <v>48</v>
      </c>
      <c r="E3" s="36" t="s">
        <v>49</v>
      </c>
    </row>
    <row r="4" ht="21.75" customHeight="1">
      <c r="B4" s="37" t="s">
        <v>50</v>
      </c>
      <c r="C4" s="38"/>
      <c r="D4" s="38"/>
      <c r="E4" s="39"/>
    </row>
    <row r="5" ht="19.5" customHeight="1">
      <c r="B5" s="40" t="s">
        <v>51</v>
      </c>
      <c r="C5" s="41">
        <v>130.0</v>
      </c>
      <c r="D5" s="42" t="s">
        <v>52</v>
      </c>
      <c r="E5" s="43" t="s">
        <v>53</v>
      </c>
    </row>
    <row r="6" ht="19.5" customHeight="1">
      <c r="B6" s="44" t="s">
        <v>54</v>
      </c>
      <c r="C6" s="45">
        <v>60.0</v>
      </c>
      <c r="D6" s="46" t="s">
        <v>52</v>
      </c>
      <c r="E6" s="47" t="s">
        <v>55</v>
      </c>
    </row>
    <row r="7" ht="19.5" customHeight="1">
      <c r="B7" s="40" t="s">
        <v>56</v>
      </c>
      <c r="C7" s="41">
        <v>1100.0</v>
      </c>
      <c r="D7" s="42" t="s">
        <v>57</v>
      </c>
      <c r="E7" s="43" t="s">
        <v>58</v>
      </c>
    </row>
    <row r="8" ht="19.5" customHeight="1">
      <c r="B8" s="44" t="s">
        <v>59</v>
      </c>
      <c r="C8" s="48">
        <v>66000.0</v>
      </c>
      <c r="D8" s="46" t="s">
        <v>60</v>
      </c>
      <c r="E8" s="47" t="str">
        <f>60 ha × 1.100 árb/ha</f>
        <v>#ERROR!</v>
      </c>
    </row>
    <row r="9" ht="19.5" customHeight="1">
      <c r="B9" s="40" t="s">
        <v>61</v>
      </c>
      <c r="C9" s="41">
        <v>2820.0</v>
      </c>
      <c r="D9" s="42" t="s">
        <v>62</v>
      </c>
      <c r="E9" s="43" t="s">
        <v>63</v>
      </c>
    </row>
    <row r="10" ht="19.5" customHeight="1">
      <c r="B10" s="40" t="s">
        <v>64</v>
      </c>
      <c r="C10" s="49">
        <v>14.0</v>
      </c>
      <c r="D10" s="42" t="s">
        <v>65</v>
      </c>
      <c r="E10" s="43" t="s">
        <v>66</v>
      </c>
    </row>
    <row r="12" ht="21.75" customHeight="1">
      <c r="B12" s="37" t="s">
        <v>67</v>
      </c>
      <c r="C12" s="38"/>
      <c r="D12" s="38"/>
      <c r="E12" s="39"/>
    </row>
    <row r="13" ht="19.5" customHeight="1">
      <c r="B13" s="40" t="s">
        <v>68</v>
      </c>
      <c r="C13" s="41">
        <v>5000000.0</v>
      </c>
      <c r="D13" s="42" t="s">
        <v>69</v>
      </c>
      <c r="E13" s="43" t="s">
        <v>70</v>
      </c>
    </row>
    <row r="14" ht="19.5" customHeight="1">
      <c r="B14" s="44" t="s">
        <v>71</v>
      </c>
      <c r="C14" s="48">
        <v>5.2E8</v>
      </c>
      <c r="D14" s="46" t="s">
        <v>72</v>
      </c>
      <c r="E14" s="47" t="str">
        <f>130 ha × $4M  (oferta conservadora)</f>
        <v>#ERROR!</v>
      </c>
    </row>
    <row r="15" ht="19.5" customHeight="1">
      <c r="B15" s="40" t="s">
        <v>73</v>
      </c>
      <c r="C15" s="41">
        <v>6.5E8</v>
      </c>
      <c r="D15" s="42" t="s">
        <v>72</v>
      </c>
      <c r="E15" s="43" t="str">
        <f>130 ha × $5M (máximo recomendado)</f>
        <v>#ERROR!</v>
      </c>
    </row>
    <row r="16" ht="19.5" customHeight="1">
      <c r="B16" s="44" t="s">
        <v>74</v>
      </c>
      <c r="C16" s="48">
        <v>1.2E7</v>
      </c>
      <c r="D16" s="46" t="s">
        <v>72</v>
      </c>
      <c r="E16" s="47" t="s">
        <v>75</v>
      </c>
    </row>
    <row r="18" ht="21.75" customHeight="1">
      <c r="B18" s="50" t="s">
        <v>76</v>
      </c>
      <c r="C18" s="38"/>
      <c r="D18" s="38"/>
      <c r="E18" s="39"/>
    </row>
    <row r="19" ht="19.5" customHeight="1">
      <c r="B19" s="40" t="s">
        <v>77</v>
      </c>
      <c r="C19" s="41">
        <v>7000.0</v>
      </c>
      <c r="D19" s="42" t="s">
        <v>78</v>
      </c>
      <c r="E19" s="43" t="s">
        <v>79</v>
      </c>
    </row>
    <row r="20" ht="19.5" customHeight="1">
      <c r="B20" s="44" t="s">
        <v>80</v>
      </c>
      <c r="C20" s="48">
        <v>2000.0</v>
      </c>
      <c r="D20" s="46" t="s">
        <v>78</v>
      </c>
      <c r="E20" s="47" t="s">
        <v>81</v>
      </c>
    </row>
    <row r="21" ht="19.5" customHeight="1">
      <c r="B21" s="40" t="s">
        <v>82</v>
      </c>
      <c r="C21" s="41">
        <v>8000.0</v>
      </c>
      <c r="D21" s="42" t="s">
        <v>78</v>
      </c>
      <c r="E21" s="43" t="s">
        <v>83</v>
      </c>
    </row>
    <row r="22" ht="19.5" customHeight="1">
      <c r="B22" s="44" t="s">
        <v>84</v>
      </c>
      <c r="C22" s="48">
        <v>12000.0</v>
      </c>
      <c r="D22" s="46" t="s">
        <v>78</v>
      </c>
      <c r="E22" s="47" t="s">
        <v>85</v>
      </c>
    </row>
    <row r="23" ht="19.5" customHeight="1">
      <c r="B23" s="40" t="s">
        <v>86</v>
      </c>
      <c r="C23" s="41">
        <v>8000.0</v>
      </c>
      <c r="D23" s="42" t="s">
        <v>78</v>
      </c>
      <c r="E23" s="43" t="s">
        <v>87</v>
      </c>
    </row>
    <row r="24" ht="19.5" customHeight="1">
      <c r="B24" s="44" t="s">
        <v>88</v>
      </c>
      <c r="C24" s="48">
        <v>4000.0</v>
      </c>
      <c r="D24" s="46" t="s">
        <v>78</v>
      </c>
      <c r="E24" s="47" t="s">
        <v>89</v>
      </c>
    </row>
    <row r="25" ht="19.5" customHeight="1">
      <c r="B25" s="40" t="s">
        <v>90</v>
      </c>
      <c r="C25" s="41">
        <v>3000.0</v>
      </c>
      <c r="D25" s="42" t="s">
        <v>78</v>
      </c>
      <c r="E25" s="43" t="s">
        <v>91</v>
      </c>
    </row>
    <row r="26" ht="19.5" customHeight="1">
      <c r="B26" s="44" t="s">
        <v>92</v>
      </c>
      <c r="C26" s="48">
        <v>5000.0</v>
      </c>
      <c r="D26" s="46" t="s">
        <v>78</v>
      </c>
      <c r="E26" s="47" t="s">
        <v>93</v>
      </c>
    </row>
    <row r="27" ht="19.5" customHeight="1">
      <c r="B27" s="51" t="s">
        <v>94</v>
      </c>
      <c r="C27" s="52">
        <v>49000.0</v>
      </c>
      <c r="D27" s="53" t="s">
        <v>78</v>
      </c>
      <c r="E27" s="54" t="s">
        <v>95</v>
      </c>
    </row>
    <row r="28" ht="19.5" customHeight="1">
      <c r="B28" s="40" t="s">
        <v>96</v>
      </c>
      <c r="C28" s="41">
        <v>130000.0</v>
      </c>
      <c r="D28" s="42" t="s">
        <v>78</v>
      </c>
      <c r="E28" s="43" t="s">
        <v>97</v>
      </c>
    </row>
    <row r="29" ht="19.5" customHeight="1">
      <c r="B29" s="44" t="s">
        <v>98</v>
      </c>
      <c r="C29" s="45">
        <v>0.623</v>
      </c>
      <c r="D29" s="46" t="s">
        <v>99</v>
      </c>
      <c r="E29" s="47" t="str">
        <f>(130 - 49) / 130</f>
        <v>0.6230769231</v>
      </c>
    </row>
    <row r="30" ht="15.75" customHeight="1"/>
    <row r="31" ht="21.75" customHeight="1">
      <c r="B31" s="55" t="s">
        <v>100</v>
      </c>
      <c r="C31" s="38"/>
      <c r="D31" s="38"/>
      <c r="E31" s="39"/>
    </row>
    <row r="32" ht="19.5" customHeight="1">
      <c r="B32" s="56" t="s">
        <v>101</v>
      </c>
      <c r="C32" s="57">
        <v>49000.0</v>
      </c>
      <c r="D32" s="58" t="s">
        <v>78</v>
      </c>
      <c r="E32" s="59" t="s">
        <v>102</v>
      </c>
    </row>
    <row r="33" ht="19.5" customHeight="1">
      <c r="B33" s="56" t="s">
        <v>103</v>
      </c>
      <c r="C33" s="57">
        <v>25000.0</v>
      </c>
      <c r="D33" s="58" t="s">
        <v>78</v>
      </c>
      <c r="E33" s="59" t="s">
        <v>104</v>
      </c>
    </row>
    <row r="34" ht="19.5" customHeight="1">
      <c r="B34" s="56" t="s">
        <v>105</v>
      </c>
      <c r="C34" s="57">
        <v>8000.0</v>
      </c>
      <c r="D34" s="58" t="s">
        <v>78</v>
      </c>
      <c r="E34" s="59" t="s">
        <v>106</v>
      </c>
    </row>
    <row r="35" ht="19.5" customHeight="1">
      <c r="B35" s="56" t="s">
        <v>107</v>
      </c>
      <c r="C35" s="57">
        <v>6000.0</v>
      </c>
      <c r="D35" s="58" t="s">
        <v>78</v>
      </c>
      <c r="E35" s="59" t="s">
        <v>108</v>
      </c>
    </row>
    <row r="36" ht="19.5" customHeight="1">
      <c r="B36" s="56" t="s">
        <v>109</v>
      </c>
      <c r="C36" s="57">
        <v>5000.0</v>
      </c>
      <c r="D36" s="58" t="s">
        <v>78</v>
      </c>
      <c r="E36" s="59" t="s">
        <v>110</v>
      </c>
    </row>
    <row r="37" ht="19.5" customHeight="1">
      <c r="B37" s="56" t="s">
        <v>111</v>
      </c>
      <c r="C37" s="57">
        <v>4000.0</v>
      </c>
      <c r="D37" s="58" t="s">
        <v>78</v>
      </c>
      <c r="E37" s="59" t="s">
        <v>112</v>
      </c>
    </row>
    <row r="38" ht="19.5" customHeight="1">
      <c r="B38" s="51" t="s">
        <v>113</v>
      </c>
      <c r="C38" s="52">
        <v>97000.0</v>
      </c>
      <c r="D38" s="53" t="s">
        <v>78</v>
      </c>
      <c r="E38" s="54" t="s">
        <v>114</v>
      </c>
    </row>
    <row r="39" ht="19.5" customHeight="1">
      <c r="B39" s="40" t="s">
        <v>115</v>
      </c>
      <c r="C39" s="41">
        <v>250000.0</v>
      </c>
      <c r="D39" s="42" t="s">
        <v>78</v>
      </c>
      <c r="E39" s="43" t="s">
        <v>116</v>
      </c>
    </row>
    <row r="40" ht="19.5" customHeight="1">
      <c r="B40" s="56" t="s">
        <v>117</v>
      </c>
      <c r="C40" s="60">
        <v>0.612</v>
      </c>
      <c r="D40" s="58" t="s">
        <v>99</v>
      </c>
      <c r="E40" s="59" t="str">
        <f>(250 - 97) / 250</f>
        <v>0.612</v>
      </c>
    </row>
    <row r="41" ht="15.75" customHeight="1"/>
    <row r="42" ht="21.75" customHeight="1">
      <c r="B42" s="37" t="s">
        <v>118</v>
      </c>
      <c r="C42" s="38"/>
      <c r="D42" s="38"/>
      <c r="E42" s="39"/>
    </row>
    <row r="43" ht="19.5" customHeight="1">
      <c r="B43" s="40" t="s">
        <v>119</v>
      </c>
      <c r="C43" s="49">
        <v>0.7</v>
      </c>
      <c r="D43" s="42" t="s">
        <v>99</v>
      </c>
      <c r="E43" s="43" t="s">
        <v>120</v>
      </c>
    </row>
    <row r="44" ht="19.5" customHeight="1">
      <c r="B44" s="44" t="s">
        <v>121</v>
      </c>
      <c r="C44" s="45">
        <v>0.3</v>
      </c>
      <c r="D44" s="46" t="s">
        <v>99</v>
      </c>
      <c r="E44" s="47" t="s">
        <v>122</v>
      </c>
    </row>
    <row r="45" ht="19.5" customHeight="1">
      <c r="B45" s="40" t="s">
        <v>123</v>
      </c>
      <c r="C45" s="49">
        <v>0.5</v>
      </c>
      <c r="D45" s="42" t="s">
        <v>99</v>
      </c>
      <c r="E45" s="43" t="s">
        <v>124</v>
      </c>
    </row>
    <row r="46" ht="19.5" customHeight="1">
      <c r="B46" s="44" t="s">
        <v>125</v>
      </c>
      <c r="C46" s="45">
        <v>0.5</v>
      </c>
      <c r="D46" s="46" t="s">
        <v>99</v>
      </c>
      <c r="E46" s="47" t="s">
        <v>126</v>
      </c>
    </row>
    <row r="47" ht="19.5" customHeight="1">
      <c r="B47" s="40" t="s">
        <v>127</v>
      </c>
      <c r="C47" s="49">
        <v>0.85</v>
      </c>
      <c r="D47" s="42" t="s">
        <v>99</v>
      </c>
      <c r="E47" s="43" t="s">
        <v>128</v>
      </c>
    </row>
    <row r="48" ht="19.5" customHeight="1">
      <c r="B48" s="44" t="s">
        <v>129</v>
      </c>
      <c r="C48" s="48">
        <v>15000.0</v>
      </c>
      <c r="D48" s="46" t="s">
        <v>60</v>
      </c>
      <c r="E48" s="47" t="s">
        <v>130</v>
      </c>
    </row>
    <row r="49" ht="19.5" customHeight="1">
      <c r="B49" s="40" t="s">
        <v>131</v>
      </c>
      <c r="C49" s="41">
        <v>25000.0</v>
      </c>
      <c r="D49" s="42" t="s">
        <v>60</v>
      </c>
      <c r="E49" s="43" t="s">
        <v>132</v>
      </c>
    </row>
    <row r="50" ht="19.5" customHeight="1">
      <c r="B50" s="44" t="s">
        <v>133</v>
      </c>
      <c r="C50" s="48">
        <v>26000.0</v>
      </c>
      <c r="D50" s="46" t="s">
        <v>60</v>
      </c>
      <c r="E50" s="47" t="s">
        <v>134</v>
      </c>
    </row>
    <row r="51" ht="19.5" customHeight="1">
      <c r="B51" s="40" t="s">
        <v>135</v>
      </c>
      <c r="C51" s="49">
        <v>0.12</v>
      </c>
      <c r="D51" s="42" t="s">
        <v>99</v>
      </c>
      <c r="E51" s="43" t="s">
        <v>136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7">
    <mergeCell ref="B31:E31"/>
    <mergeCell ref="B18:E18"/>
    <mergeCell ref="B4:E4"/>
    <mergeCell ref="A2:E2"/>
    <mergeCell ref="B12:E12"/>
    <mergeCell ref="A1:E1"/>
    <mergeCell ref="B42:E4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0916C"/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40.0"/>
    <col customWidth="1" min="3" max="6" width="20.0"/>
    <col customWidth="1" min="7" max="11" width="8.71"/>
  </cols>
  <sheetData>
    <row r="1" ht="39.75" customHeight="1">
      <c r="A1" s="34" t="s">
        <v>137</v>
      </c>
      <c r="B1" s="13"/>
      <c r="C1" s="13"/>
      <c r="D1" s="13"/>
      <c r="E1" s="13"/>
      <c r="F1" s="14"/>
    </row>
    <row r="3" ht="27.75" customHeight="1">
      <c r="B3" s="61" t="s">
        <v>138</v>
      </c>
      <c r="C3" s="29"/>
      <c r="D3" s="62" t="s">
        <v>139</v>
      </c>
      <c r="E3" s="63" t="s">
        <v>140</v>
      </c>
      <c r="F3" s="29"/>
    </row>
    <row r="4" ht="19.5" customHeight="1">
      <c r="B4" s="30" t="s">
        <v>141</v>
      </c>
      <c r="C4" s="29"/>
      <c r="D4" s="64" t="s">
        <v>142</v>
      </c>
      <c r="E4" s="65" t="s">
        <v>142</v>
      </c>
      <c r="F4" s="29"/>
    </row>
    <row r="5" ht="19.5" customHeight="1">
      <c r="B5" s="32" t="s">
        <v>143</v>
      </c>
      <c r="C5" s="29"/>
      <c r="D5" s="66" t="s">
        <v>142</v>
      </c>
      <c r="E5" s="65" t="s">
        <v>142</v>
      </c>
      <c r="F5" s="29"/>
    </row>
    <row r="6" ht="19.5" customHeight="1">
      <c r="B6" s="30" t="s">
        <v>144</v>
      </c>
      <c r="C6" s="29"/>
      <c r="D6" s="64" t="s">
        <v>142</v>
      </c>
      <c r="E6" s="65" t="s">
        <v>142</v>
      </c>
      <c r="F6" s="29"/>
    </row>
    <row r="7" ht="19.5" customHeight="1">
      <c r="B7" s="32" t="s">
        <v>145</v>
      </c>
      <c r="C7" s="29"/>
      <c r="D7" s="66" t="s">
        <v>142</v>
      </c>
      <c r="E7" s="65" t="s">
        <v>142</v>
      </c>
      <c r="F7" s="29"/>
    </row>
    <row r="8" ht="19.5" customHeight="1">
      <c r="B8" s="30" t="s">
        <v>146</v>
      </c>
      <c r="C8" s="29"/>
      <c r="D8" s="64" t="s">
        <v>142</v>
      </c>
      <c r="E8" s="65" t="s">
        <v>142</v>
      </c>
      <c r="F8" s="29"/>
    </row>
    <row r="9" ht="19.5" customHeight="1">
      <c r="B9" s="32" t="s">
        <v>147</v>
      </c>
      <c r="C9" s="29"/>
      <c r="D9" s="66" t="s">
        <v>142</v>
      </c>
      <c r="E9" s="65" t="s">
        <v>142</v>
      </c>
      <c r="F9" s="29"/>
    </row>
    <row r="10" ht="19.5" customHeight="1">
      <c r="B10" s="30" t="s">
        <v>148</v>
      </c>
      <c r="C10" s="29"/>
      <c r="D10" s="64" t="s">
        <v>142</v>
      </c>
      <c r="E10" s="65" t="s">
        <v>142</v>
      </c>
      <c r="F10" s="29"/>
    </row>
    <row r="11" ht="19.5" customHeight="1">
      <c r="B11" s="32" t="s">
        <v>149</v>
      </c>
      <c r="C11" s="29"/>
      <c r="D11" s="66" t="s">
        <v>142</v>
      </c>
      <c r="E11" s="65" t="s">
        <v>142</v>
      </c>
      <c r="F11" s="29"/>
    </row>
    <row r="12" ht="19.5" customHeight="1">
      <c r="B12" s="30" t="s">
        <v>90</v>
      </c>
      <c r="C12" s="29"/>
      <c r="D12" s="64" t="s">
        <v>142</v>
      </c>
      <c r="E12" s="65" t="s">
        <v>142</v>
      </c>
      <c r="F12" s="29"/>
    </row>
    <row r="13" ht="19.5" customHeight="1">
      <c r="B13" s="32" t="s">
        <v>150</v>
      </c>
      <c r="C13" s="29"/>
      <c r="D13" s="66" t="s">
        <v>142</v>
      </c>
      <c r="E13" s="65" t="s">
        <v>142</v>
      </c>
      <c r="F13" s="29"/>
    </row>
    <row r="14" ht="19.5" customHeight="1">
      <c r="B14" s="67" t="s">
        <v>151</v>
      </c>
      <c r="C14" s="29"/>
      <c r="D14" s="68"/>
      <c r="E14" s="69"/>
      <c r="F14" s="29"/>
    </row>
    <row r="15" ht="19.5" customHeight="1">
      <c r="B15" s="32" t="s">
        <v>152</v>
      </c>
      <c r="C15" s="29"/>
      <c r="D15" s="70" t="s">
        <v>153</v>
      </c>
      <c r="E15" s="65" t="s">
        <v>142</v>
      </c>
      <c r="F15" s="29"/>
    </row>
    <row r="16" ht="19.5" customHeight="1">
      <c r="B16" s="30" t="s">
        <v>154</v>
      </c>
      <c r="C16" s="29"/>
      <c r="D16" s="71" t="s">
        <v>153</v>
      </c>
      <c r="E16" s="65" t="s">
        <v>142</v>
      </c>
      <c r="F16" s="29"/>
    </row>
    <row r="17" ht="19.5" customHeight="1">
      <c r="B17" s="32" t="s">
        <v>155</v>
      </c>
      <c r="C17" s="29"/>
      <c r="D17" s="70" t="s">
        <v>153</v>
      </c>
      <c r="E17" s="65" t="s">
        <v>142</v>
      </c>
      <c r="F17" s="29"/>
    </row>
    <row r="18" ht="19.5" customHeight="1">
      <c r="B18" s="30" t="s">
        <v>156</v>
      </c>
      <c r="C18" s="29"/>
      <c r="D18" s="71" t="s">
        <v>153</v>
      </c>
      <c r="E18" s="65" t="s">
        <v>142</v>
      </c>
      <c r="F18" s="29"/>
    </row>
    <row r="19" ht="19.5" customHeight="1">
      <c r="B19" s="32" t="s">
        <v>157</v>
      </c>
      <c r="C19" s="29"/>
      <c r="D19" s="70" t="s">
        <v>153</v>
      </c>
      <c r="E19" s="65" t="s">
        <v>142</v>
      </c>
      <c r="F19" s="29"/>
    </row>
    <row r="20" ht="19.5" customHeight="1">
      <c r="B20" s="30" t="s">
        <v>111</v>
      </c>
      <c r="C20" s="29"/>
      <c r="D20" s="71" t="s">
        <v>153</v>
      </c>
      <c r="E20" s="65" t="s">
        <v>142</v>
      </c>
      <c r="F20" s="29"/>
    </row>
    <row r="21" ht="19.5" customHeight="1">
      <c r="B21" s="32" t="s">
        <v>158</v>
      </c>
      <c r="C21" s="29"/>
      <c r="D21" s="70" t="s">
        <v>153</v>
      </c>
      <c r="E21" s="65" t="s">
        <v>142</v>
      </c>
      <c r="F21" s="29"/>
    </row>
    <row r="22" ht="19.5" customHeight="1">
      <c r="B22" s="30" t="s">
        <v>159</v>
      </c>
      <c r="C22" s="29"/>
      <c r="D22" s="71" t="s">
        <v>153</v>
      </c>
      <c r="E22" s="65" t="s">
        <v>142</v>
      </c>
      <c r="F22" s="29"/>
    </row>
    <row r="23" ht="19.5" customHeight="1">
      <c r="B23" s="32" t="s">
        <v>160</v>
      </c>
      <c r="C23" s="29"/>
      <c r="D23" s="70" t="s">
        <v>153</v>
      </c>
      <c r="E23" s="65" t="s">
        <v>142</v>
      </c>
      <c r="F23" s="29"/>
    </row>
    <row r="24" ht="15.75" customHeight="1"/>
    <row r="25" ht="9.75" customHeight="1"/>
    <row r="26" ht="25.5" customHeight="1">
      <c r="B26" s="72" t="s">
        <v>161</v>
      </c>
      <c r="C26" s="38"/>
      <c r="D26" s="38"/>
      <c r="E26" s="38"/>
      <c r="F26" s="39"/>
    </row>
    <row r="27" ht="21.75" customHeight="1">
      <c r="B27" s="36" t="s">
        <v>162</v>
      </c>
      <c r="C27" s="36" t="s">
        <v>163</v>
      </c>
      <c r="D27" s="36" t="s">
        <v>164</v>
      </c>
      <c r="E27" s="36" t="s">
        <v>165</v>
      </c>
    </row>
    <row r="28" ht="19.5" customHeight="1">
      <c r="B28" s="73" t="s">
        <v>166</v>
      </c>
      <c r="C28" s="74">
        <v>49000.0</v>
      </c>
      <c r="D28" s="74">
        <v>97000.0</v>
      </c>
      <c r="E28" s="75">
        <v>48000.0</v>
      </c>
    </row>
    <row r="29" ht="19.5" customHeight="1">
      <c r="B29" s="76" t="s">
        <v>167</v>
      </c>
      <c r="C29" s="77">
        <v>130000.0</v>
      </c>
      <c r="D29" s="77">
        <v>250000.0</v>
      </c>
      <c r="E29" s="75">
        <v>120000.0</v>
      </c>
    </row>
    <row r="30" ht="19.5" customHeight="1">
      <c r="B30" s="73" t="s">
        <v>168</v>
      </c>
      <c r="C30" s="74">
        <v>81000.0</v>
      </c>
      <c r="D30" s="74">
        <v>153000.0</v>
      </c>
      <c r="E30" s="75">
        <v>72000.0</v>
      </c>
    </row>
    <row r="31" ht="19.5" customHeight="1">
      <c r="B31" s="40" t="s">
        <v>169</v>
      </c>
      <c r="C31" s="78">
        <v>0.623</v>
      </c>
      <c r="D31" s="78">
        <v>0.612</v>
      </c>
    </row>
    <row r="32" ht="19.5" customHeight="1">
      <c r="B32" s="44" t="s">
        <v>170</v>
      </c>
      <c r="C32" s="79">
        <v>5.2E7</v>
      </c>
      <c r="D32" s="79">
        <v>1.0E8</v>
      </c>
      <c r="E32" s="75">
        <v>4.8E7</v>
      </c>
    </row>
    <row r="33" ht="19.5" customHeight="1">
      <c r="B33" s="40" t="s">
        <v>171</v>
      </c>
      <c r="C33" s="80">
        <v>1.3E8</v>
      </c>
      <c r="D33" s="80">
        <v>2.5E8</v>
      </c>
      <c r="E33" s="75">
        <v>1.2E8</v>
      </c>
    </row>
    <row r="34" ht="19.5" customHeight="1">
      <c r="B34" s="44" t="s">
        <v>172</v>
      </c>
      <c r="C34" s="79">
        <v>2.6E8</v>
      </c>
      <c r="D34" s="79">
        <v>5.0E8</v>
      </c>
      <c r="E34" s="75">
        <v>2.4E8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44">
    <mergeCell ref="E13:F13"/>
    <mergeCell ref="E9:F9"/>
    <mergeCell ref="E11:F11"/>
    <mergeCell ref="B21:C21"/>
    <mergeCell ref="B19:C19"/>
    <mergeCell ref="B20:C20"/>
    <mergeCell ref="B10:C10"/>
    <mergeCell ref="B9:C9"/>
    <mergeCell ref="E15:F15"/>
    <mergeCell ref="E16:F16"/>
    <mergeCell ref="E23:F23"/>
    <mergeCell ref="E22:F22"/>
    <mergeCell ref="B23:C23"/>
    <mergeCell ref="B26:F26"/>
    <mergeCell ref="B7:C7"/>
    <mergeCell ref="B22:C22"/>
    <mergeCell ref="B11:C11"/>
    <mergeCell ref="B8:C8"/>
    <mergeCell ref="B15:C15"/>
    <mergeCell ref="E7:F7"/>
    <mergeCell ref="E18:F18"/>
    <mergeCell ref="E21:F21"/>
    <mergeCell ref="B16:C16"/>
    <mergeCell ref="B18:C18"/>
    <mergeCell ref="B17:C17"/>
    <mergeCell ref="E5:F5"/>
    <mergeCell ref="E8:F8"/>
    <mergeCell ref="E6:F6"/>
    <mergeCell ref="B3:C3"/>
    <mergeCell ref="E4:F4"/>
    <mergeCell ref="B6:C6"/>
    <mergeCell ref="B5:C5"/>
    <mergeCell ref="A1:F1"/>
    <mergeCell ref="B4:C4"/>
    <mergeCell ref="E3:F3"/>
    <mergeCell ref="E17:F17"/>
    <mergeCell ref="E20:F20"/>
    <mergeCell ref="E19:F19"/>
    <mergeCell ref="E12:F12"/>
    <mergeCell ref="E10:F10"/>
    <mergeCell ref="E14:F14"/>
    <mergeCell ref="B14:C14"/>
    <mergeCell ref="B12:C12"/>
    <mergeCell ref="B13:C13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2B788"/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28.0"/>
    <col customWidth="1" min="3" max="6" width="16.0"/>
    <col customWidth="1" min="7" max="8" width="18.0"/>
    <col customWidth="1" min="9" max="11" width="8.71"/>
  </cols>
  <sheetData>
    <row r="1" ht="39.75" customHeight="1">
      <c r="A1" s="34" t="s">
        <v>173</v>
      </c>
      <c r="B1" s="13"/>
      <c r="C1" s="13"/>
      <c r="D1" s="13"/>
      <c r="E1" s="13"/>
      <c r="F1" s="13"/>
      <c r="G1" s="13"/>
      <c r="H1" s="14"/>
    </row>
    <row r="2" ht="21.75" customHeight="1">
      <c r="A2" s="81" t="s">
        <v>174</v>
      </c>
      <c r="B2" s="13"/>
      <c r="C2" s="13"/>
      <c r="D2" s="13"/>
      <c r="E2" s="13"/>
      <c r="F2" s="13"/>
      <c r="G2" s="13"/>
      <c r="H2" s="14"/>
    </row>
    <row r="4" ht="21.75" customHeight="1">
      <c r="B4" s="37" t="s">
        <v>175</v>
      </c>
      <c r="C4" s="38"/>
      <c r="D4" s="38"/>
      <c r="E4" s="38"/>
      <c r="F4" s="38"/>
      <c r="G4" s="38"/>
      <c r="H4" s="39"/>
    </row>
    <row r="5" ht="34.5" customHeight="1">
      <c r="B5" s="82" t="s">
        <v>176</v>
      </c>
      <c r="C5" s="82" t="s">
        <v>177</v>
      </c>
      <c r="D5" s="82" t="s">
        <v>178</v>
      </c>
      <c r="E5" s="82" t="s">
        <v>179</v>
      </c>
      <c r="F5" s="82" t="s">
        <v>180</v>
      </c>
      <c r="G5" s="82" t="s">
        <v>181</v>
      </c>
      <c r="H5" s="82" t="s">
        <v>182</v>
      </c>
      <c r="I5" s="82" t="s">
        <v>183</v>
      </c>
    </row>
    <row r="6" ht="19.5" customHeight="1">
      <c r="B6" s="44" t="s">
        <v>184</v>
      </c>
      <c r="C6" s="46" t="s">
        <v>185</v>
      </c>
      <c r="D6" s="48">
        <v>100.0</v>
      </c>
      <c r="E6" s="83">
        <v>1.3E7</v>
      </c>
      <c r="F6" s="83">
        <v>2.5E7</v>
      </c>
      <c r="G6" s="48">
        <v>20.0</v>
      </c>
      <c r="H6" s="83">
        <v>2.6E8</v>
      </c>
      <c r="I6" s="83">
        <v>5.0E8</v>
      </c>
    </row>
    <row r="7" ht="19.5" customHeight="1">
      <c r="B7" s="40" t="s">
        <v>186</v>
      </c>
      <c r="C7" s="42" t="s">
        <v>187</v>
      </c>
      <c r="D7" s="41">
        <v>200.0</v>
      </c>
      <c r="E7" s="84">
        <v>2.6E7</v>
      </c>
      <c r="F7" s="84">
        <v>5.0E7</v>
      </c>
      <c r="G7" s="41">
        <v>15.0</v>
      </c>
      <c r="H7" s="84">
        <v>3.9E8</v>
      </c>
      <c r="I7" s="84">
        <v>7.5E8</v>
      </c>
    </row>
    <row r="8" ht="19.5" customHeight="1">
      <c r="B8" s="44" t="s">
        <v>188</v>
      </c>
      <c r="C8" s="46" t="s">
        <v>189</v>
      </c>
      <c r="D8" s="48">
        <v>400.0</v>
      </c>
      <c r="E8" s="83">
        <v>5.2E7</v>
      </c>
      <c r="F8" s="83">
        <v>1.0E8</v>
      </c>
      <c r="G8" s="48">
        <v>10.0</v>
      </c>
      <c r="H8" s="83">
        <v>5.2E8</v>
      </c>
      <c r="I8" s="83">
        <v>1.0E9</v>
      </c>
    </row>
    <row r="9" ht="19.5" customHeight="1">
      <c r="B9" s="40" t="s">
        <v>190</v>
      </c>
      <c r="C9" s="42" t="s">
        <v>191</v>
      </c>
      <c r="D9" s="41">
        <v>1000.0</v>
      </c>
      <c r="E9" s="84">
        <v>1.3E8</v>
      </c>
      <c r="F9" s="84">
        <v>2.5E8</v>
      </c>
      <c r="G9" s="41">
        <v>5.0</v>
      </c>
      <c r="H9" s="84">
        <v>6.5E8</v>
      </c>
      <c r="I9" s="84">
        <v>1.25E9</v>
      </c>
    </row>
    <row r="10" ht="19.5" customHeight="1">
      <c r="B10" s="44" t="s">
        <v>192</v>
      </c>
      <c r="C10" s="46" t="s">
        <v>193</v>
      </c>
      <c r="D10" s="48">
        <v>4000.0</v>
      </c>
      <c r="E10" s="83">
        <v>5.2E8</v>
      </c>
      <c r="F10" s="83">
        <v>1.0E9</v>
      </c>
      <c r="G10" s="48">
        <v>2.0</v>
      </c>
      <c r="H10" s="83">
        <v>1.04E9</v>
      </c>
      <c r="I10" s="83">
        <v>2.0E9</v>
      </c>
    </row>
    <row r="11" ht="24.0" customHeight="1">
      <c r="B11" s="85" t="s">
        <v>194</v>
      </c>
      <c r="C11" s="86"/>
      <c r="D11" s="86"/>
      <c r="E11" s="86"/>
      <c r="F11" s="87">
        <v>52.0</v>
      </c>
      <c r="G11" s="88">
        <v>2.86E9</v>
      </c>
      <c r="H11" s="88">
        <v>5.5E9</v>
      </c>
      <c r="I11" s="86"/>
    </row>
    <row r="13" ht="21.75" customHeight="1">
      <c r="B13" s="37" t="s">
        <v>195</v>
      </c>
      <c r="C13" s="38"/>
      <c r="D13" s="38"/>
      <c r="E13" s="38"/>
      <c r="F13" s="38"/>
      <c r="G13" s="38"/>
      <c r="H13" s="39"/>
    </row>
    <row r="14" ht="34.5" customHeight="1">
      <c r="B14" s="82" t="s">
        <v>196</v>
      </c>
      <c r="C14" s="82" t="s">
        <v>197</v>
      </c>
      <c r="D14" s="82" t="s">
        <v>198</v>
      </c>
      <c r="E14" s="82" t="s">
        <v>199</v>
      </c>
      <c r="F14" s="82" t="s">
        <v>182</v>
      </c>
      <c r="G14" s="82" t="s">
        <v>183</v>
      </c>
      <c r="H14" s="82" t="s">
        <v>200</v>
      </c>
      <c r="I14" s="82" t="s">
        <v>201</v>
      </c>
    </row>
    <row r="15" ht="21.75" customHeight="1">
      <c r="B15" s="44" t="s">
        <v>202</v>
      </c>
      <c r="C15" s="89">
        <v>33.0</v>
      </c>
      <c r="D15" s="89">
        <v>6600.0</v>
      </c>
      <c r="E15" s="90">
        <v>6.0</v>
      </c>
      <c r="F15" s="91">
        <v>8.58E8</v>
      </c>
      <c r="G15" s="91">
        <v>1.65E9</v>
      </c>
      <c r="H15" s="46" t="s">
        <v>203</v>
      </c>
      <c r="I15" s="46" t="s">
        <v>204</v>
      </c>
    </row>
    <row r="16" ht="21.75" customHeight="1">
      <c r="B16" s="40" t="s">
        <v>205</v>
      </c>
      <c r="C16" s="92">
        <v>25.0</v>
      </c>
      <c r="D16" s="92">
        <v>16000.0</v>
      </c>
      <c r="E16" s="93">
        <v>14.5</v>
      </c>
      <c r="F16" s="94">
        <v>2.08E9</v>
      </c>
      <c r="G16" s="94">
        <v>4.0E9</v>
      </c>
      <c r="H16" s="42" t="s">
        <v>206</v>
      </c>
      <c r="I16" s="42" t="s">
        <v>207</v>
      </c>
    </row>
    <row r="17" ht="21.75" customHeight="1">
      <c r="B17" s="44" t="s">
        <v>208</v>
      </c>
      <c r="C17" s="89">
        <v>52.0</v>
      </c>
      <c r="D17" s="89">
        <v>40000.0</v>
      </c>
      <c r="E17" s="90">
        <v>36.4</v>
      </c>
      <c r="F17" s="91">
        <v>5.2E9</v>
      </c>
      <c r="G17" s="91">
        <v>1.0E10</v>
      </c>
      <c r="H17" s="46" t="s">
        <v>209</v>
      </c>
      <c r="I17" s="46" t="s">
        <v>210</v>
      </c>
    </row>
    <row r="18" ht="21.75" customHeight="1">
      <c r="B18" s="95" t="s">
        <v>211</v>
      </c>
      <c r="C18" s="96">
        <v>65.0</v>
      </c>
      <c r="D18" s="96">
        <v>66000.0</v>
      </c>
      <c r="E18" s="97">
        <v>60.0</v>
      </c>
      <c r="F18" s="98">
        <v>8.58E9</v>
      </c>
      <c r="G18" s="98">
        <v>1.65E10</v>
      </c>
      <c r="H18" s="99" t="s">
        <v>212</v>
      </c>
      <c r="I18" s="99" t="s">
        <v>213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4">
    <mergeCell ref="B13:H13"/>
    <mergeCell ref="B4:H4"/>
    <mergeCell ref="A2:H2"/>
    <mergeCell ref="A1:H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392B"/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40.0"/>
    <col customWidth="1" min="3" max="6" width="22.0"/>
    <col customWidth="1" min="7" max="11" width="8.71"/>
  </cols>
  <sheetData>
    <row r="1" ht="39.75" customHeight="1">
      <c r="A1" s="34" t="s">
        <v>214</v>
      </c>
      <c r="B1" s="13"/>
      <c r="C1" s="13"/>
      <c r="D1" s="13"/>
      <c r="E1" s="13"/>
      <c r="F1" s="14"/>
    </row>
    <row r="3" ht="21.75" customHeight="1">
      <c r="B3" s="37" t="s">
        <v>215</v>
      </c>
      <c r="C3" s="38"/>
      <c r="D3" s="38"/>
      <c r="E3" s="38"/>
      <c r="F3" s="39"/>
    </row>
    <row r="4" ht="21.75" customHeight="1">
      <c r="B4" s="36" t="s">
        <v>216</v>
      </c>
      <c r="C4" s="36" t="s">
        <v>217</v>
      </c>
      <c r="D4" s="36" t="s">
        <v>218</v>
      </c>
      <c r="E4" s="36" t="s">
        <v>219</v>
      </c>
      <c r="F4" s="36" t="s">
        <v>220</v>
      </c>
    </row>
    <row r="5" ht="19.5" customHeight="1">
      <c r="B5" s="40" t="s">
        <v>221</v>
      </c>
      <c r="C5" s="100">
        <v>5.2E8</v>
      </c>
      <c r="D5" s="40" t="s">
        <v>222</v>
      </c>
      <c r="E5" s="42" t="s">
        <v>223</v>
      </c>
      <c r="F5" s="40" t="s">
        <v>224</v>
      </c>
    </row>
    <row r="6" ht="19.5" customHeight="1">
      <c r="B6" s="44" t="s">
        <v>225</v>
      </c>
      <c r="C6" s="101">
        <v>1.2E7</v>
      </c>
      <c r="D6" s="44" t="s">
        <v>226</v>
      </c>
      <c r="E6" s="46" t="s">
        <v>223</v>
      </c>
      <c r="F6" s="44" t="s">
        <v>227</v>
      </c>
    </row>
    <row r="7" ht="19.5" customHeight="1">
      <c r="B7" s="40" t="s">
        <v>228</v>
      </c>
      <c r="C7" s="100">
        <v>5000000.0</v>
      </c>
      <c r="D7" s="40" t="s">
        <v>229</v>
      </c>
      <c r="E7" s="42" t="s">
        <v>223</v>
      </c>
      <c r="F7" s="40" t="s">
        <v>230</v>
      </c>
    </row>
    <row r="8" ht="19.5" customHeight="1">
      <c r="B8" s="44" t="s">
        <v>231</v>
      </c>
      <c r="C8" s="101">
        <v>8000000.0</v>
      </c>
      <c r="D8" s="44" t="s">
        <v>232</v>
      </c>
      <c r="E8" s="46" t="s">
        <v>223</v>
      </c>
      <c r="F8" s="44" t="s">
        <v>233</v>
      </c>
    </row>
    <row r="9" ht="19.5" customHeight="1">
      <c r="B9" s="51" t="s">
        <v>234</v>
      </c>
      <c r="C9" s="102">
        <v>5.45E8</v>
      </c>
      <c r="D9" s="51"/>
      <c r="E9" s="53"/>
      <c r="F9" s="51"/>
    </row>
    <row r="11" ht="21.75" customHeight="1">
      <c r="B11" s="37" t="s">
        <v>235</v>
      </c>
      <c r="C11" s="38"/>
      <c r="D11" s="38"/>
      <c r="E11" s="38"/>
      <c r="F11" s="39"/>
    </row>
    <row r="12" ht="19.5" customHeight="1">
      <c r="B12" s="44" t="s">
        <v>236</v>
      </c>
      <c r="C12" s="101">
        <v>3.0E7</v>
      </c>
      <c r="D12" s="44" t="s">
        <v>237</v>
      </c>
      <c r="E12" s="46" t="s">
        <v>238</v>
      </c>
      <c r="F12" s="44" t="s">
        <v>239</v>
      </c>
    </row>
    <row r="13" ht="19.5" customHeight="1">
      <c r="B13" s="40" t="s">
        <v>240</v>
      </c>
      <c r="C13" s="100">
        <v>1.5E7</v>
      </c>
      <c r="D13" s="40" t="s">
        <v>241</v>
      </c>
      <c r="E13" s="42" t="s">
        <v>238</v>
      </c>
      <c r="F13" s="40" t="s">
        <v>242</v>
      </c>
    </row>
    <row r="14" ht="19.5" customHeight="1">
      <c r="B14" s="44" t="s">
        <v>243</v>
      </c>
      <c r="C14" s="101">
        <v>8000000.0</v>
      </c>
      <c r="D14" s="44" t="s">
        <v>244</v>
      </c>
      <c r="E14" s="46" t="s">
        <v>238</v>
      </c>
      <c r="F14" s="44" t="s">
        <v>245</v>
      </c>
    </row>
    <row r="15" ht="19.5" customHeight="1">
      <c r="B15" s="40" t="s">
        <v>246</v>
      </c>
      <c r="C15" s="100">
        <v>1.2E7</v>
      </c>
      <c r="D15" s="40" t="s">
        <v>247</v>
      </c>
      <c r="E15" s="42" t="s">
        <v>248</v>
      </c>
      <c r="F15" s="40" t="s">
        <v>249</v>
      </c>
    </row>
    <row r="16" ht="19.5" customHeight="1">
      <c r="B16" s="44" t="s">
        <v>250</v>
      </c>
      <c r="C16" s="101">
        <v>5000000.0</v>
      </c>
      <c r="D16" s="44" t="s">
        <v>251</v>
      </c>
      <c r="E16" s="46" t="s">
        <v>238</v>
      </c>
      <c r="F16" s="44" t="s">
        <v>252</v>
      </c>
    </row>
    <row r="17" ht="19.5" customHeight="1">
      <c r="B17" s="40" t="s">
        <v>149</v>
      </c>
      <c r="C17" s="100">
        <v>3000000.0</v>
      </c>
      <c r="D17" s="40" t="s">
        <v>253</v>
      </c>
      <c r="E17" s="42" t="s">
        <v>238</v>
      </c>
      <c r="F17" s="40" t="s">
        <v>254</v>
      </c>
    </row>
    <row r="18" ht="19.5" customHeight="1">
      <c r="B18" s="44" t="s">
        <v>255</v>
      </c>
      <c r="C18" s="101">
        <v>6000000.0</v>
      </c>
      <c r="D18" s="44" t="s">
        <v>256</v>
      </c>
      <c r="E18" s="46" t="s">
        <v>238</v>
      </c>
      <c r="F18" s="44" t="s">
        <v>257</v>
      </c>
    </row>
    <row r="19" ht="19.5" customHeight="1">
      <c r="B19" s="51" t="s">
        <v>258</v>
      </c>
      <c r="C19" s="102">
        <v>7.9E7</v>
      </c>
      <c r="D19" s="51"/>
      <c r="E19" s="53"/>
      <c r="F19" s="51"/>
    </row>
    <row r="21" ht="21.75" customHeight="1">
      <c r="B21" s="37" t="s">
        <v>259</v>
      </c>
      <c r="C21" s="38"/>
      <c r="D21" s="38"/>
      <c r="E21" s="38"/>
      <c r="F21" s="39"/>
    </row>
    <row r="22" ht="19.5" customHeight="1">
      <c r="B22" s="44" t="s">
        <v>260</v>
      </c>
      <c r="C22" s="101">
        <v>1.05E8</v>
      </c>
      <c r="D22" s="44" t="s">
        <v>261</v>
      </c>
      <c r="E22" s="46" t="s">
        <v>238</v>
      </c>
      <c r="F22" s="44" t="s">
        <v>262</v>
      </c>
    </row>
    <row r="23" ht="19.5" customHeight="1">
      <c r="B23" s="40" t="s">
        <v>263</v>
      </c>
      <c r="C23" s="100">
        <v>1.2E8</v>
      </c>
      <c r="D23" s="40" t="s">
        <v>264</v>
      </c>
      <c r="E23" s="42" t="s">
        <v>238</v>
      </c>
      <c r="F23" s="40" t="s">
        <v>265</v>
      </c>
    </row>
    <row r="24" ht="19.5" customHeight="1">
      <c r="B24" s="44" t="s">
        <v>266</v>
      </c>
      <c r="C24" s="101">
        <v>1.75E8</v>
      </c>
      <c r="D24" s="44" t="s">
        <v>267</v>
      </c>
      <c r="E24" s="46" t="s">
        <v>207</v>
      </c>
      <c r="F24" s="44" t="s">
        <v>268</v>
      </c>
    </row>
    <row r="25" ht="19.5" customHeight="1">
      <c r="B25" s="40" t="s">
        <v>269</v>
      </c>
      <c r="C25" s="100">
        <v>2.0E8</v>
      </c>
      <c r="D25" s="40" t="s">
        <v>270</v>
      </c>
      <c r="E25" s="42" t="s">
        <v>207</v>
      </c>
      <c r="F25" s="40" t="s">
        <v>271</v>
      </c>
    </row>
    <row r="26" ht="19.5" customHeight="1">
      <c r="B26" s="44" t="s">
        <v>272</v>
      </c>
      <c r="C26" s="101">
        <v>1.82E8</v>
      </c>
      <c r="D26" s="44" t="s">
        <v>267</v>
      </c>
      <c r="E26" s="46" t="s">
        <v>210</v>
      </c>
      <c r="F26" s="44" t="s">
        <v>273</v>
      </c>
    </row>
    <row r="27" ht="19.5" customHeight="1">
      <c r="B27" s="40" t="s">
        <v>274</v>
      </c>
      <c r="C27" s="100">
        <v>2.08E8</v>
      </c>
      <c r="D27" s="40" t="s">
        <v>270</v>
      </c>
      <c r="E27" s="42" t="s">
        <v>210</v>
      </c>
      <c r="F27" s="40" t="s">
        <v>275</v>
      </c>
    </row>
    <row r="28" ht="19.5" customHeight="1">
      <c r="B28" s="44" t="s">
        <v>276</v>
      </c>
      <c r="C28" s="101">
        <v>1.8E8</v>
      </c>
      <c r="D28" s="44" t="s">
        <v>277</v>
      </c>
      <c r="E28" s="46" t="s">
        <v>278</v>
      </c>
      <c r="F28" s="44" t="s">
        <v>279</v>
      </c>
    </row>
    <row r="29" ht="19.5" customHeight="1">
      <c r="B29" s="40" t="s">
        <v>280</v>
      </c>
      <c r="C29" s="100">
        <v>1.2E8</v>
      </c>
      <c r="D29" s="40" t="s">
        <v>281</v>
      </c>
      <c r="E29" s="42" t="s">
        <v>282</v>
      </c>
      <c r="F29" s="40" t="s">
        <v>283</v>
      </c>
    </row>
    <row r="30" ht="19.5" customHeight="1">
      <c r="B30" s="44" t="s">
        <v>284</v>
      </c>
      <c r="C30" s="101">
        <v>2.4E7</v>
      </c>
      <c r="D30" s="44" t="s">
        <v>285</v>
      </c>
      <c r="E30" s="46" t="s">
        <v>286</v>
      </c>
      <c r="F30" s="44" t="s">
        <v>287</v>
      </c>
    </row>
    <row r="31" ht="19.5" customHeight="1">
      <c r="B31" s="51" t="s">
        <v>288</v>
      </c>
      <c r="C31" s="102">
        <v>1.314E9</v>
      </c>
      <c r="D31" s="51"/>
      <c r="E31" s="53"/>
      <c r="F31" s="51"/>
    </row>
    <row r="32" ht="15.75" customHeight="1"/>
    <row r="33" ht="27.75" customHeight="1">
      <c r="B33" s="103" t="s">
        <v>289</v>
      </c>
      <c r="C33" s="28"/>
      <c r="D33" s="28"/>
      <c r="E33" s="29"/>
      <c r="F33" s="104">
        <v>1.938E9</v>
      </c>
    </row>
    <row r="34" ht="27.75" customHeight="1">
      <c r="B34" s="105" t="s">
        <v>290</v>
      </c>
      <c r="C34" s="28"/>
      <c r="D34" s="28"/>
      <c r="E34" s="29"/>
      <c r="F34" s="106">
        <v>1.393E9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6">
    <mergeCell ref="B3:F3"/>
    <mergeCell ref="A1:F1"/>
    <mergeCell ref="B33:E33"/>
    <mergeCell ref="B34:E34"/>
    <mergeCell ref="B21:F21"/>
    <mergeCell ref="B11:F1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980B9"/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42.0"/>
    <col customWidth="1" min="3" max="9" width="18.0"/>
    <col customWidth="1" min="10" max="11" width="8.71"/>
  </cols>
  <sheetData>
    <row r="1" ht="39.75" customHeight="1">
      <c r="A1" s="107" t="s">
        <v>291</v>
      </c>
      <c r="B1" s="13"/>
      <c r="C1" s="13"/>
      <c r="D1" s="13"/>
      <c r="E1" s="13"/>
      <c r="F1" s="13"/>
      <c r="G1" s="13"/>
      <c r="H1" s="13"/>
      <c r="I1" s="14"/>
    </row>
    <row r="2" ht="19.5" customHeight="1">
      <c r="A2" s="108" t="s">
        <v>292</v>
      </c>
      <c r="B2" s="13"/>
      <c r="C2" s="13"/>
      <c r="D2" s="13"/>
      <c r="E2" s="13"/>
      <c r="F2" s="13"/>
      <c r="G2" s="13"/>
      <c r="H2" s="13"/>
      <c r="I2" s="14"/>
    </row>
    <row r="3" ht="25.5" customHeight="1">
      <c r="B3" s="109" t="s">
        <v>162</v>
      </c>
      <c r="C3" s="26" t="s">
        <v>293</v>
      </c>
      <c r="D3" s="26" t="s">
        <v>294</v>
      </c>
      <c r="E3" s="26" t="s">
        <v>295</v>
      </c>
      <c r="F3" s="26" t="s">
        <v>296</v>
      </c>
      <c r="G3" s="26" t="s">
        <v>297</v>
      </c>
      <c r="H3" s="26" t="s">
        <v>298</v>
      </c>
      <c r="I3" s="110" t="s">
        <v>299</v>
      </c>
    </row>
    <row r="4" ht="21.75" customHeight="1">
      <c r="B4" s="111" t="s">
        <v>300</v>
      </c>
      <c r="C4" s="38"/>
      <c r="D4" s="38"/>
      <c r="E4" s="38"/>
      <c r="F4" s="38"/>
      <c r="G4" s="38"/>
      <c r="H4" s="38"/>
      <c r="I4" s="39"/>
    </row>
    <row r="5" ht="19.5" customHeight="1">
      <c r="B5" s="40" t="s">
        <v>301</v>
      </c>
      <c r="C5" s="80">
        <v>-5.2E8</v>
      </c>
      <c r="D5" s="80">
        <v>0.0</v>
      </c>
      <c r="E5" s="80">
        <v>0.0</v>
      </c>
      <c r="F5" s="80">
        <v>0.0</v>
      </c>
      <c r="G5" s="80">
        <v>0.0</v>
      </c>
      <c r="H5" s="80">
        <v>0.0</v>
      </c>
      <c r="I5" s="112">
        <v>-5.2E8</v>
      </c>
    </row>
    <row r="6" ht="19.5" customHeight="1">
      <c r="B6" s="113" t="s">
        <v>225</v>
      </c>
      <c r="C6" s="114">
        <v>-1.2E7</v>
      </c>
      <c r="D6" s="114">
        <v>0.0</v>
      </c>
      <c r="E6" s="114">
        <v>0.0</v>
      </c>
      <c r="F6" s="114">
        <v>0.0</v>
      </c>
      <c r="G6" s="114">
        <v>0.0</v>
      </c>
      <c r="H6" s="114">
        <v>0.0</v>
      </c>
      <c r="I6" s="115">
        <v>-1.2E7</v>
      </c>
    </row>
    <row r="7" ht="19.5" customHeight="1">
      <c r="B7" s="40" t="s">
        <v>302</v>
      </c>
      <c r="C7" s="80">
        <v>-5.0E7</v>
      </c>
      <c r="D7" s="80">
        <v>-2.9E7</v>
      </c>
      <c r="E7" s="80">
        <v>0.0</v>
      </c>
      <c r="F7" s="80">
        <v>0.0</v>
      </c>
      <c r="G7" s="80">
        <v>0.0</v>
      </c>
      <c r="H7" s="80">
        <v>0.0</v>
      </c>
      <c r="I7" s="112">
        <v>-7.9E7</v>
      </c>
    </row>
    <row r="8" ht="19.5" customHeight="1">
      <c r="B8" s="113" t="s">
        <v>303</v>
      </c>
      <c r="C8" s="114">
        <v>0.0</v>
      </c>
      <c r="D8" s="114">
        <v>-2.25E8</v>
      </c>
      <c r="E8" s="114">
        <v>0.0</v>
      </c>
      <c r="F8" s="114">
        <v>0.0</v>
      </c>
      <c r="G8" s="114">
        <v>0.0</v>
      </c>
      <c r="H8" s="114">
        <v>0.0</v>
      </c>
      <c r="I8" s="115">
        <v>-2.25E8</v>
      </c>
    </row>
    <row r="9" ht="19.5" customHeight="1">
      <c r="B9" s="40" t="s">
        <v>304</v>
      </c>
      <c r="C9" s="80">
        <v>0.0</v>
      </c>
      <c r="D9" s="80">
        <v>0.0</v>
      </c>
      <c r="E9" s="80">
        <v>-3.75E8</v>
      </c>
      <c r="F9" s="80">
        <v>0.0</v>
      </c>
      <c r="G9" s="80">
        <v>0.0</v>
      </c>
      <c r="H9" s="80">
        <v>0.0</v>
      </c>
      <c r="I9" s="112">
        <v>-3.75E8</v>
      </c>
    </row>
    <row r="10" ht="19.5" customHeight="1">
      <c r="B10" s="113" t="s">
        <v>305</v>
      </c>
      <c r="C10" s="114">
        <v>0.0</v>
      </c>
      <c r="D10" s="114">
        <v>0.0</v>
      </c>
      <c r="E10" s="114">
        <v>0.0</v>
      </c>
      <c r="F10" s="114">
        <v>-3.9E8</v>
      </c>
      <c r="G10" s="114">
        <v>0.0</v>
      </c>
      <c r="H10" s="114">
        <v>0.0</v>
      </c>
      <c r="I10" s="115">
        <v>-3.9E8</v>
      </c>
    </row>
    <row r="11" ht="19.5" customHeight="1">
      <c r="B11" s="40" t="s">
        <v>306</v>
      </c>
      <c r="C11" s="80">
        <v>0.0</v>
      </c>
      <c r="D11" s="80">
        <v>-1.8E8</v>
      </c>
      <c r="E11" s="80">
        <v>-3.0E8</v>
      </c>
      <c r="F11" s="80">
        <v>-3.12E8</v>
      </c>
      <c r="G11" s="80">
        <v>-1.2E8</v>
      </c>
      <c r="H11" s="80">
        <v>0.0</v>
      </c>
      <c r="I11" s="112">
        <v>-9.12E8</v>
      </c>
    </row>
    <row r="12" ht="19.5" customHeight="1">
      <c r="B12" s="113" t="s">
        <v>307</v>
      </c>
      <c r="C12" s="114">
        <v>0.0</v>
      </c>
      <c r="D12" s="114">
        <v>0.0</v>
      </c>
      <c r="E12" s="114">
        <v>-1.2E8</v>
      </c>
      <c r="F12" s="114">
        <v>-2.0E8</v>
      </c>
      <c r="G12" s="114">
        <v>-2.08E8</v>
      </c>
      <c r="H12" s="114">
        <v>-1.2E8</v>
      </c>
      <c r="I12" s="115">
        <v>-6.48E8</v>
      </c>
    </row>
    <row r="13" ht="19.5" customHeight="1">
      <c r="B13" s="40" t="s">
        <v>308</v>
      </c>
      <c r="C13" s="80">
        <v>0.0</v>
      </c>
      <c r="D13" s="80">
        <v>-2.25E7</v>
      </c>
      <c r="E13" s="80">
        <v>-3.75E7</v>
      </c>
      <c r="F13" s="80">
        <v>-3.9E7</v>
      </c>
      <c r="G13" s="80">
        <v>-3.96E7</v>
      </c>
      <c r="H13" s="80">
        <v>-3.96E7</v>
      </c>
      <c r="I13" s="112">
        <v>-1.782E8</v>
      </c>
    </row>
    <row r="14" ht="19.5" customHeight="1">
      <c r="B14" s="113" t="s">
        <v>309</v>
      </c>
      <c r="C14" s="114">
        <v>0.0</v>
      </c>
      <c r="D14" s="114">
        <v>-3.6E7</v>
      </c>
      <c r="E14" s="114">
        <v>-4.8E7</v>
      </c>
      <c r="F14" s="114">
        <v>-6.0E7</v>
      </c>
      <c r="G14" s="114">
        <v>-7.2E7</v>
      </c>
      <c r="H14" s="114">
        <v>-7.2E7</v>
      </c>
      <c r="I14" s="115">
        <v>-2.88E8</v>
      </c>
    </row>
    <row r="15" ht="24.0" customHeight="1">
      <c r="B15" s="116" t="s">
        <v>310</v>
      </c>
      <c r="C15" s="117">
        <v>-5.82E8</v>
      </c>
      <c r="D15" s="117">
        <v>-4.925E8</v>
      </c>
      <c r="E15" s="117">
        <v>-8.805E8</v>
      </c>
      <c r="F15" s="117">
        <v>-1.001E9</v>
      </c>
      <c r="G15" s="117">
        <v>-4.396E8</v>
      </c>
      <c r="H15" s="117">
        <v>-2.316E8</v>
      </c>
      <c r="I15" s="117">
        <v>-3.6272E9</v>
      </c>
    </row>
    <row r="17" ht="21.75" customHeight="1">
      <c r="B17" s="50" t="s">
        <v>311</v>
      </c>
      <c r="C17" s="38"/>
      <c r="D17" s="38"/>
      <c r="E17" s="38"/>
      <c r="F17" s="38"/>
      <c r="G17" s="38"/>
      <c r="H17" s="38"/>
      <c r="I17" s="39"/>
    </row>
    <row r="18" ht="19.5" customHeight="1">
      <c r="B18" s="44" t="s">
        <v>312</v>
      </c>
      <c r="C18" s="79">
        <v>0.0</v>
      </c>
      <c r="D18" s="79">
        <v>1.365E8</v>
      </c>
      <c r="E18" s="79">
        <v>3.4125E8</v>
      </c>
      <c r="F18" s="79">
        <v>5.346E8</v>
      </c>
      <c r="G18" s="79">
        <v>2.145E9</v>
      </c>
      <c r="H18" s="79">
        <v>2.145E9</v>
      </c>
      <c r="I18" s="118">
        <v>5.30235E9</v>
      </c>
    </row>
    <row r="19" ht="19.5" customHeight="1">
      <c r="B19" s="40" t="s">
        <v>313</v>
      </c>
      <c r="C19" s="80">
        <v>0.0</v>
      </c>
      <c r="D19" s="80">
        <v>1.125E8</v>
      </c>
      <c r="E19" s="80">
        <v>2.8125E8</v>
      </c>
      <c r="F19" s="80">
        <v>4.41E8</v>
      </c>
      <c r="G19" s="80">
        <v>2.0625E9</v>
      </c>
      <c r="H19" s="80">
        <v>2.0625E9</v>
      </c>
      <c r="I19" s="119">
        <v>4.95975E9</v>
      </c>
    </row>
    <row r="20" ht="24.0" customHeight="1">
      <c r="B20" s="120" t="s">
        <v>314</v>
      </c>
      <c r="C20" s="121">
        <v>0.0</v>
      </c>
      <c r="D20" s="121">
        <v>2.49E8</v>
      </c>
      <c r="E20" s="121">
        <v>6.225E8</v>
      </c>
      <c r="F20" s="121">
        <v>9.756E8</v>
      </c>
      <c r="G20" s="121">
        <v>4.2075E9</v>
      </c>
      <c r="H20" s="121">
        <v>4.2075E9</v>
      </c>
      <c r="I20" s="121">
        <v>1.02621E10</v>
      </c>
    </row>
    <row r="21" ht="15.75" customHeight="1"/>
    <row r="22" ht="21.75" customHeight="1">
      <c r="B22" s="72" t="s">
        <v>315</v>
      </c>
      <c r="C22" s="38"/>
      <c r="D22" s="38"/>
      <c r="E22" s="38"/>
      <c r="F22" s="38"/>
      <c r="G22" s="38"/>
      <c r="H22" s="38"/>
      <c r="I22" s="39"/>
    </row>
    <row r="23" ht="24.0" customHeight="1">
      <c r="B23" s="122" t="s">
        <v>316</v>
      </c>
      <c r="C23" s="123">
        <v>-5.82E8</v>
      </c>
      <c r="D23" s="123">
        <v>-2.435E8</v>
      </c>
      <c r="E23" s="123">
        <v>-2.58E8</v>
      </c>
      <c r="F23" s="123">
        <v>-2.54E7</v>
      </c>
      <c r="G23" s="123">
        <v>3.7679E9</v>
      </c>
      <c r="H23" s="123">
        <v>3.9759E9</v>
      </c>
      <c r="I23" s="123">
        <v>6.6349E9</v>
      </c>
    </row>
    <row r="24" ht="24.0" customHeight="1">
      <c r="B24" s="124" t="s">
        <v>317</v>
      </c>
      <c r="C24" s="125">
        <v>-5.82E8</v>
      </c>
      <c r="D24" s="125">
        <v>-8.255E8</v>
      </c>
      <c r="E24" s="125">
        <v>-1.0835E9</v>
      </c>
      <c r="F24" s="125">
        <v>-1.1089E9</v>
      </c>
      <c r="G24" s="125">
        <v>2.659E9</v>
      </c>
      <c r="H24" s="125">
        <v>6.6349E9</v>
      </c>
      <c r="I24" s="125">
        <v>6.6349E9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5">
    <mergeCell ref="A2:I2"/>
    <mergeCell ref="A1:I1"/>
    <mergeCell ref="B22:I22"/>
    <mergeCell ref="B4:I4"/>
    <mergeCell ref="B17:I17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950B"/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42.0"/>
    <col customWidth="1" min="3" max="9" width="18.0"/>
    <col customWidth="1" min="10" max="11" width="8.71"/>
  </cols>
  <sheetData>
    <row r="1" ht="39.75" customHeight="1">
      <c r="A1" s="107" t="s">
        <v>318</v>
      </c>
      <c r="B1" s="13"/>
      <c r="C1" s="13"/>
      <c r="D1" s="13"/>
      <c r="E1" s="13"/>
      <c r="F1" s="13"/>
      <c r="G1" s="13"/>
      <c r="H1" s="13"/>
      <c r="I1" s="14"/>
    </row>
    <row r="2" ht="19.5" customHeight="1">
      <c r="A2" s="108" t="s">
        <v>319</v>
      </c>
      <c r="B2" s="13"/>
      <c r="C2" s="13"/>
      <c r="D2" s="13"/>
      <c r="E2" s="13"/>
      <c r="F2" s="13"/>
      <c r="G2" s="13"/>
      <c r="H2" s="13"/>
      <c r="I2" s="14"/>
    </row>
    <row r="3" ht="25.5" customHeight="1">
      <c r="B3" s="109" t="s">
        <v>162</v>
      </c>
      <c r="C3" s="126" t="s">
        <v>320</v>
      </c>
      <c r="D3" s="126" t="s">
        <v>321</v>
      </c>
      <c r="E3" s="126" t="s">
        <v>322</v>
      </c>
      <c r="F3" s="126" t="s">
        <v>323</v>
      </c>
      <c r="G3" s="126" t="s">
        <v>324</v>
      </c>
      <c r="H3" s="126" t="s">
        <v>325</v>
      </c>
      <c r="I3" s="110" t="s">
        <v>299</v>
      </c>
    </row>
    <row r="4" ht="21.75" customHeight="1">
      <c r="B4" s="111" t="s">
        <v>300</v>
      </c>
      <c r="C4" s="38"/>
      <c r="D4" s="38"/>
      <c r="E4" s="38"/>
      <c r="F4" s="38"/>
      <c r="G4" s="38"/>
      <c r="H4" s="38"/>
      <c r="I4" s="39"/>
    </row>
    <row r="5" ht="19.5" customHeight="1">
      <c r="B5" s="40" t="s">
        <v>326</v>
      </c>
      <c r="C5" s="80">
        <v>-5.2E8</v>
      </c>
      <c r="D5" s="80">
        <v>0.0</v>
      </c>
      <c r="E5" s="80">
        <v>0.0</v>
      </c>
      <c r="F5" s="80">
        <v>0.0</v>
      </c>
      <c r="G5" s="80">
        <v>0.0</v>
      </c>
      <c r="H5" s="80">
        <v>0.0</v>
      </c>
      <c r="I5" s="112">
        <v>-5.2E8</v>
      </c>
    </row>
    <row r="6" ht="19.5" customHeight="1">
      <c r="B6" s="113" t="s">
        <v>327</v>
      </c>
      <c r="C6" s="114">
        <v>-6.2E7</v>
      </c>
      <c r="D6" s="114">
        <v>-1.7E7</v>
      </c>
      <c r="E6" s="114">
        <v>0.0</v>
      </c>
      <c r="F6" s="114">
        <v>0.0</v>
      </c>
      <c r="G6" s="114">
        <v>0.0</v>
      </c>
      <c r="H6" s="114">
        <v>0.0</v>
      </c>
      <c r="I6" s="115">
        <v>-7.9E7</v>
      </c>
    </row>
    <row r="7" ht="19.5" customHeight="1">
      <c r="B7" s="40" t="s">
        <v>328</v>
      </c>
      <c r="C7" s="80">
        <v>0.0</v>
      </c>
      <c r="D7" s="80">
        <v>-2.25E8</v>
      </c>
      <c r="E7" s="80">
        <v>0.0</v>
      </c>
      <c r="F7" s="80">
        <v>0.0</v>
      </c>
      <c r="G7" s="80">
        <v>0.0</v>
      </c>
      <c r="H7" s="80">
        <v>0.0</v>
      </c>
      <c r="I7" s="112">
        <v>-2.25E8</v>
      </c>
    </row>
    <row r="8" ht="19.5" customHeight="1">
      <c r="B8" s="113" t="s">
        <v>329</v>
      </c>
      <c r="C8" s="114">
        <v>0.0</v>
      </c>
      <c r="D8" s="114">
        <v>0.0</v>
      </c>
      <c r="E8" s="114">
        <v>-3.75E8</v>
      </c>
      <c r="F8" s="114">
        <v>0.0</v>
      </c>
      <c r="G8" s="114">
        <v>0.0</v>
      </c>
      <c r="H8" s="114">
        <v>0.0</v>
      </c>
      <c r="I8" s="115">
        <v>-3.75E8</v>
      </c>
    </row>
    <row r="9" ht="19.5" customHeight="1">
      <c r="B9" s="40" t="s">
        <v>330</v>
      </c>
      <c r="C9" s="80">
        <v>0.0</v>
      </c>
      <c r="D9" s="80">
        <v>0.0</v>
      </c>
      <c r="E9" s="80">
        <v>0.0</v>
      </c>
      <c r="F9" s="80">
        <v>-3.9E8</v>
      </c>
      <c r="G9" s="80">
        <v>0.0</v>
      </c>
      <c r="H9" s="80">
        <v>0.0</v>
      </c>
      <c r="I9" s="112">
        <v>-3.9E8</v>
      </c>
    </row>
    <row r="10" ht="19.5" customHeight="1">
      <c r="B10" s="113" t="s">
        <v>331</v>
      </c>
      <c r="C10" s="114">
        <v>0.0</v>
      </c>
      <c r="D10" s="114">
        <v>-1.8E8</v>
      </c>
      <c r="E10" s="114">
        <v>-4.2E8</v>
      </c>
      <c r="F10" s="114">
        <v>-5.12E8</v>
      </c>
      <c r="G10" s="114">
        <v>-3.28E8</v>
      </c>
      <c r="H10" s="114">
        <v>-1.2E8</v>
      </c>
      <c r="I10" s="115">
        <v>-1.56E9</v>
      </c>
    </row>
    <row r="11" ht="19.5" customHeight="1">
      <c r="B11" s="40" t="s">
        <v>332</v>
      </c>
      <c r="C11" s="80">
        <v>0.0</v>
      </c>
      <c r="D11" s="80">
        <v>-2.8E7</v>
      </c>
      <c r="E11" s="80">
        <v>-5.6E7</v>
      </c>
      <c r="F11" s="80">
        <v>-5.6E7</v>
      </c>
      <c r="G11" s="80">
        <v>-5.6E7</v>
      </c>
      <c r="H11" s="80">
        <v>-5.6E7</v>
      </c>
      <c r="I11" s="112">
        <v>-2.52E8</v>
      </c>
    </row>
    <row r="12" ht="19.5" customHeight="1">
      <c r="B12" s="113" t="s">
        <v>333</v>
      </c>
      <c r="C12" s="114">
        <v>0.0</v>
      </c>
      <c r="D12" s="114">
        <v>-5.85E7</v>
      </c>
      <c r="E12" s="114">
        <v>-8.55E7</v>
      </c>
      <c r="F12" s="114">
        <v>-9.9E7</v>
      </c>
      <c r="G12" s="114">
        <v>-1.116E8</v>
      </c>
      <c r="H12" s="114">
        <v>-1.116E8</v>
      </c>
      <c r="I12" s="115">
        <v>-4.662E8</v>
      </c>
    </row>
    <row r="13" ht="24.0" customHeight="1">
      <c r="B13" s="116" t="s">
        <v>310</v>
      </c>
      <c r="C13" s="117">
        <v>-5.82E8</v>
      </c>
      <c r="D13" s="117">
        <v>-5.085E8</v>
      </c>
      <c r="E13" s="117">
        <v>-9.365E8</v>
      </c>
      <c r="F13" s="117">
        <v>-1.057E9</v>
      </c>
      <c r="G13" s="117">
        <v>-4.956E8</v>
      </c>
      <c r="H13" s="117">
        <v>-2.876E8</v>
      </c>
      <c r="I13" s="117">
        <v>-3.8672E9</v>
      </c>
    </row>
    <row r="15" ht="21.75" customHeight="1">
      <c r="B15" s="50" t="s">
        <v>311</v>
      </c>
      <c r="C15" s="38"/>
      <c r="D15" s="38"/>
      <c r="E15" s="38"/>
      <c r="F15" s="38"/>
      <c r="G15" s="38"/>
      <c r="H15" s="38"/>
      <c r="I15" s="39"/>
    </row>
    <row r="16" ht="19.5" customHeight="1">
      <c r="B16" s="44" t="s">
        <v>334</v>
      </c>
      <c r="C16" s="79">
        <v>0.0</v>
      </c>
      <c r="D16" s="79">
        <v>1.365E8</v>
      </c>
      <c r="E16" s="79">
        <v>3.4125E8</v>
      </c>
      <c r="F16" s="79">
        <v>5.346E8</v>
      </c>
      <c r="G16" s="79">
        <v>2.145E9</v>
      </c>
      <c r="H16" s="79">
        <v>2.145E9</v>
      </c>
      <c r="I16" s="118">
        <v>5.30235E9</v>
      </c>
    </row>
    <row r="17" ht="19.5" customHeight="1">
      <c r="B17" s="40" t="s">
        <v>335</v>
      </c>
      <c r="C17" s="80">
        <v>0.0</v>
      </c>
      <c r="D17" s="80">
        <v>1.125E8</v>
      </c>
      <c r="E17" s="80">
        <v>2.8125E8</v>
      </c>
      <c r="F17" s="80">
        <v>4.41E8</v>
      </c>
      <c r="G17" s="80">
        <v>2.0625E9</v>
      </c>
      <c r="H17" s="80">
        <v>2.0625E9</v>
      </c>
      <c r="I17" s="119">
        <v>4.95975E9</v>
      </c>
    </row>
    <row r="18" ht="24.0" customHeight="1">
      <c r="B18" s="120" t="s">
        <v>314</v>
      </c>
      <c r="C18" s="121">
        <v>0.0</v>
      </c>
      <c r="D18" s="121">
        <v>2.49E8</v>
      </c>
      <c r="E18" s="121">
        <v>6.225E8</v>
      </c>
      <c r="F18" s="121">
        <v>9.756E8</v>
      </c>
      <c r="G18" s="121">
        <v>4.2075E9</v>
      </c>
      <c r="H18" s="121">
        <v>4.2075E9</v>
      </c>
      <c r="I18" s="121">
        <v>1.02621E10</v>
      </c>
    </row>
    <row r="20" ht="21.75" customHeight="1">
      <c r="B20" s="55" t="s">
        <v>336</v>
      </c>
      <c r="C20" s="38"/>
      <c r="D20" s="38"/>
      <c r="E20" s="38"/>
      <c r="F20" s="38"/>
      <c r="G20" s="38"/>
      <c r="H20" s="38"/>
      <c r="I20" s="39"/>
    </row>
    <row r="21" ht="19.5" customHeight="1">
      <c r="B21" s="40" t="s">
        <v>337</v>
      </c>
      <c r="C21" s="80">
        <v>0.0</v>
      </c>
      <c r="D21" s="80">
        <v>2.0E8</v>
      </c>
      <c r="E21" s="80">
        <v>2.0E8</v>
      </c>
      <c r="F21" s="80">
        <v>0.0</v>
      </c>
      <c r="G21" s="80">
        <v>0.0</v>
      </c>
      <c r="H21" s="80">
        <v>0.0</v>
      </c>
      <c r="I21" s="127">
        <v>4.0E8</v>
      </c>
    </row>
    <row r="22" ht="19.5" customHeight="1">
      <c r="B22" s="56" t="s">
        <v>338</v>
      </c>
      <c r="C22" s="128">
        <v>0.0</v>
      </c>
      <c r="D22" s="128">
        <v>8.0E7</v>
      </c>
      <c r="E22" s="128">
        <v>0.0</v>
      </c>
      <c r="F22" s="128">
        <v>0.0</v>
      </c>
      <c r="G22" s="128">
        <v>0.0</v>
      </c>
      <c r="H22" s="128">
        <v>0.0</v>
      </c>
      <c r="I22" s="129">
        <v>8.0E7</v>
      </c>
    </row>
    <row r="23" ht="15.75" customHeight="1"/>
    <row r="24" ht="21.75" customHeight="1">
      <c r="B24" s="72" t="s">
        <v>315</v>
      </c>
      <c r="C24" s="38"/>
      <c r="D24" s="38"/>
      <c r="E24" s="38"/>
      <c r="F24" s="38"/>
      <c r="G24" s="38"/>
      <c r="H24" s="38"/>
      <c r="I24" s="39"/>
    </row>
    <row r="25" ht="24.0" customHeight="1">
      <c r="B25" s="122" t="s">
        <v>316</v>
      </c>
      <c r="C25" s="123">
        <v>-5.82E8</v>
      </c>
      <c r="D25" s="123">
        <v>2.05E7</v>
      </c>
      <c r="E25" s="123">
        <v>-1.14E8</v>
      </c>
      <c r="F25" s="123">
        <v>-8.14E7</v>
      </c>
      <c r="G25" s="123">
        <v>3.7119E9</v>
      </c>
      <c r="H25" s="123">
        <v>3.9199E9</v>
      </c>
      <c r="I25" s="123">
        <v>6.8749E9</v>
      </c>
    </row>
    <row r="26" ht="24.0" customHeight="1">
      <c r="B26" s="124" t="s">
        <v>317</v>
      </c>
      <c r="C26" s="125">
        <v>-5.82E8</v>
      </c>
      <c r="D26" s="125">
        <v>-5.615E8</v>
      </c>
      <c r="E26" s="125">
        <v>-6.755E8</v>
      </c>
      <c r="F26" s="125">
        <v>-7.569E8</v>
      </c>
      <c r="G26" s="125">
        <v>2.955E9</v>
      </c>
      <c r="H26" s="125">
        <v>6.8749E9</v>
      </c>
      <c r="I26" s="125">
        <v>6.8749E9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6">
    <mergeCell ref="A2:I2"/>
    <mergeCell ref="B15:I15"/>
    <mergeCell ref="B24:I24"/>
    <mergeCell ref="B20:I20"/>
    <mergeCell ref="A1:I1"/>
    <mergeCell ref="B4:I4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44AD"/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42.0"/>
    <col customWidth="1" min="3" max="11" width="18.0"/>
  </cols>
  <sheetData>
    <row r="1" ht="39.75" customHeight="1">
      <c r="A1" s="107" t="s">
        <v>339</v>
      </c>
      <c r="B1" s="13"/>
      <c r="C1" s="13"/>
      <c r="D1" s="13"/>
      <c r="E1" s="13"/>
      <c r="F1" s="13"/>
      <c r="G1" s="13"/>
      <c r="H1" s="13"/>
      <c r="I1" s="13"/>
      <c r="J1" s="13"/>
      <c r="K1" s="14"/>
    </row>
    <row r="2" ht="19.5" customHeight="1">
      <c r="A2" s="108" t="s">
        <v>340</v>
      </c>
      <c r="B2" s="13"/>
      <c r="C2" s="13"/>
      <c r="D2" s="13"/>
      <c r="E2" s="13"/>
      <c r="F2" s="13"/>
      <c r="G2" s="13"/>
      <c r="H2" s="13"/>
      <c r="I2" s="13"/>
      <c r="J2" s="13"/>
      <c r="K2" s="14"/>
    </row>
    <row r="3" ht="25.5" customHeight="1">
      <c r="B3" s="109" t="s">
        <v>162</v>
      </c>
      <c r="C3" s="36" t="s">
        <v>320</v>
      </c>
      <c r="D3" s="36" t="s">
        <v>321</v>
      </c>
      <c r="E3" s="36" t="s">
        <v>322</v>
      </c>
      <c r="F3" s="36" t="s">
        <v>323</v>
      </c>
      <c r="G3" s="36" t="s">
        <v>324</v>
      </c>
      <c r="H3" s="36" t="s">
        <v>325</v>
      </c>
      <c r="I3" s="36" t="s">
        <v>341</v>
      </c>
      <c r="J3" s="36" t="s">
        <v>342</v>
      </c>
      <c r="K3" s="110" t="s">
        <v>299</v>
      </c>
    </row>
    <row r="4" ht="21.75" customHeight="1">
      <c r="B4" s="111" t="s">
        <v>300</v>
      </c>
      <c r="C4" s="38"/>
      <c r="D4" s="38"/>
      <c r="E4" s="38"/>
      <c r="F4" s="38"/>
      <c r="G4" s="38"/>
      <c r="H4" s="38"/>
      <c r="I4" s="38"/>
      <c r="J4" s="38"/>
      <c r="K4" s="39"/>
    </row>
    <row r="5" ht="19.5" customHeight="1">
      <c r="B5" s="40" t="s">
        <v>326</v>
      </c>
      <c r="C5" s="80">
        <v>-5.2E8</v>
      </c>
      <c r="D5" s="80">
        <v>0.0</v>
      </c>
      <c r="E5" s="80">
        <v>0.0</v>
      </c>
      <c r="F5" s="80">
        <v>0.0</v>
      </c>
      <c r="G5" s="80">
        <v>0.0</v>
      </c>
      <c r="H5" s="80">
        <v>0.0</v>
      </c>
      <c r="I5" s="80">
        <v>0.0</v>
      </c>
      <c r="J5" s="80">
        <v>0.0</v>
      </c>
      <c r="K5" s="112">
        <v>-5.2E8</v>
      </c>
    </row>
    <row r="6" ht="19.5" customHeight="1">
      <c r="B6" s="113" t="s">
        <v>343</v>
      </c>
      <c r="C6" s="114">
        <v>-1.5E7</v>
      </c>
      <c r="D6" s="114">
        <v>0.0</v>
      </c>
      <c r="E6" s="114">
        <v>0.0</v>
      </c>
      <c r="F6" s="114">
        <v>0.0</v>
      </c>
      <c r="G6" s="114">
        <v>0.0</v>
      </c>
      <c r="H6" s="114">
        <v>0.0</v>
      </c>
      <c r="I6" s="114">
        <v>0.0</v>
      </c>
      <c r="J6" s="114">
        <v>0.0</v>
      </c>
      <c r="K6" s="115">
        <v>-1.5E7</v>
      </c>
    </row>
    <row r="7" ht="19.5" customHeight="1">
      <c r="B7" s="40" t="s">
        <v>344</v>
      </c>
      <c r="C7" s="80">
        <v>-6.2E7</v>
      </c>
      <c r="D7" s="80">
        <v>-1.7E7</v>
      </c>
      <c r="E7" s="80">
        <v>0.0</v>
      </c>
      <c r="F7" s="80">
        <v>0.0</v>
      </c>
      <c r="G7" s="80">
        <v>0.0</v>
      </c>
      <c r="H7" s="80">
        <v>0.0</v>
      </c>
      <c r="I7" s="80">
        <v>0.0</v>
      </c>
      <c r="J7" s="80">
        <v>0.0</v>
      </c>
      <c r="K7" s="112">
        <v>-7.9E7</v>
      </c>
    </row>
    <row r="8" ht="19.5" customHeight="1">
      <c r="B8" s="113" t="s">
        <v>345</v>
      </c>
      <c r="C8" s="114">
        <v>0.0</v>
      </c>
      <c r="D8" s="114">
        <v>-2.25E8</v>
      </c>
      <c r="E8" s="114">
        <v>0.0</v>
      </c>
      <c r="F8" s="114">
        <v>0.0</v>
      </c>
      <c r="G8" s="114">
        <v>0.0</v>
      </c>
      <c r="H8" s="114">
        <v>0.0</v>
      </c>
      <c r="I8" s="114">
        <v>0.0</v>
      </c>
      <c r="J8" s="114">
        <v>0.0</v>
      </c>
      <c r="K8" s="115">
        <v>-2.25E8</v>
      </c>
    </row>
    <row r="9" ht="19.5" customHeight="1">
      <c r="B9" s="40" t="s">
        <v>346</v>
      </c>
      <c r="C9" s="80">
        <v>0.0</v>
      </c>
      <c r="D9" s="80">
        <v>0.0</v>
      </c>
      <c r="E9" s="80">
        <v>-3.75E8</v>
      </c>
      <c r="F9" s="80">
        <v>0.0</v>
      </c>
      <c r="G9" s="80">
        <v>0.0</v>
      </c>
      <c r="H9" s="80">
        <v>0.0</v>
      </c>
      <c r="I9" s="80">
        <v>0.0</v>
      </c>
      <c r="J9" s="80">
        <v>0.0</v>
      </c>
      <c r="K9" s="112">
        <v>-3.75E8</v>
      </c>
    </row>
    <row r="10" ht="19.5" customHeight="1">
      <c r="B10" s="113" t="s">
        <v>347</v>
      </c>
      <c r="C10" s="114">
        <v>0.0</v>
      </c>
      <c r="D10" s="114">
        <v>0.0</v>
      </c>
      <c r="E10" s="114">
        <v>0.0</v>
      </c>
      <c r="F10" s="114">
        <v>-3.9E8</v>
      </c>
      <c r="G10" s="114">
        <v>0.0</v>
      </c>
      <c r="H10" s="114">
        <v>0.0</v>
      </c>
      <c r="I10" s="114">
        <v>0.0</v>
      </c>
      <c r="J10" s="114">
        <v>0.0</v>
      </c>
      <c r="K10" s="115">
        <v>-3.9E8</v>
      </c>
    </row>
    <row r="11" ht="19.5" customHeight="1">
      <c r="B11" s="40" t="s">
        <v>331</v>
      </c>
      <c r="C11" s="80">
        <v>0.0</v>
      </c>
      <c r="D11" s="80">
        <v>-1.8E8</v>
      </c>
      <c r="E11" s="80">
        <v>-4.2E8</v>
      </c>
      <c r="F11" s="80">
        <v>-5.12E8</v>
      </c>
      <c r="G11" s="80">
        <v>-3.28E8</v>
      </c>
      <c r="H11" s="80">
        <v>-1.2E8</v>
      </c>
      <c r="I11" s="80">
        <v>-1.2E8</v>
      </c>
      <c r="J11" s="80">
        <v>-1.2E8</v>
      </c>
      <c r="K11" s="112">
        <v>-1.8E9</v>
      </c>
    </row>
    <row r="12" ht="19.5" customHeight="1">
      <c r="B12" s="113" t="s">
        <v>348</v>
      </c>
      <c r="C12" s="114">
        <v>0.0</v>
      </c>
      <c r="D12" s="114">
        <v>-5.0E7</v>
      </c>
      <c r="E12" s="114">
        <v>-8.0E7</v>
      </c>
      <c r="F12" s="114">
        <v>-1.2E8</v>
      </c>
      <c r="G12" s="114">
        <v>-1.6E8</v>
      </c>
      <c r="H12" s="114">
        <v>-1.6E8</v>
      </c>
      <c r="I12" s="114">
        <v>-1.8E8</v>
      </c>
      <c r="J12" s="114">
        <v>-2.0E8</v>
      </c>
      <c r="K12" s="115">
        <v>-9.5E8</v>
      </c>
    </row>
    <row r="13" ht="19.5" customHeight="1">
      <c r="B13" s="40" t="s">
        <v>349</v>
      </c>
      <c r="C13" s="80">
        <v>0.0</v>
      </c>
      <c r="D13" s="80">
        <v>0.0</v>
      </c>
      <c r="E13" s="80">
        <v>0.0</v>
      </c>
      <c r="F13" s="80">
        <v>-7.5E7</v>
      </c>
      <c r="G13" s="80">
        <v>-2.5E8</v>
      </c>
      <c r="H13" s="80">
        <v>-3.5E8</v>
      </c>
      <c r="I13" s="80">
        <v>-4.5E8</v>
      </c>
      <c r="J13" s="80">
        <v>-6.0E8</v>
      </c>
      <c r="K13" s="112">
        <v>-1.725E9</v>
      </c>
    </row>
    <row r="14" ht="24.0" customHeight="1">
      <c r="B14" s="116" t="s">
        <v>310</v>
      </c>
      <c r="C14" s="117">
        <v>-5.97E8</v>
      </c>
      <c r="D14" s="117">
        <v>-4.72E8</v>
      </c>
      <c r="E14" s="117">
        <v>-8.75E8</v>
      </c>
      <c r="F14" s="117">
        <v>-1.097E9</v>
      </c>
      <c r="G14" s="117">
        <v>-7.38E8</v>
      </c>
      <c r="H14" s="117">
        <v>-6.3E8</v>
      </c>
      <c r="I14" s="117">
        <v>-7.5E8</v>
      </c>
      <c r="J14" s="117">
        <v>-9.2E8</v>
      </c>
      <c r="K14" s="117">
        <v>-6.079E9</v>
      </c>
    </row>
    <row r="16" ht="21.75" customHeight="1">
      <c r="B16" s="50" t="s">
        <v>311</v>
      </c>
      <c r="C16" s="38"/>
      <c r="D16" s="38"/>
      <c r="E16" s="38"/>
      <c r="F16" s="38"/>
      <c r="G16" s="38"/>
      <c r="H16" s="38"/>
      <c r="I16" s="38"/>
      <c r="J16" s="38"/>
      <c r="K16" s="39"/>
    </row>
    <row r="17" ht="19.5" customHeight="1">
      <c r="B17" s="40" t="s">
        <v>350</v>
      </c>
      <c r="C17" s="80">
        <v>0.0</v>
      </c>
      <c r="D17" s="80">
        <v>2.49E8</v>
      </c>
      <c r="E17" s="80">
        <v>6.225E8</v>
      </c>
      <c r="F17" s="80">
        <v>9.756E8</v>
      </c>
      <c r="G17" s="80">
        <v>3.7125E9</v>
      </c>
      <c r="H17" s="80">
        <v>4.2075E9</v>
      </c>
      <c r="I17" s="80">
        <v>4.95E9</v>
      </c>
      <c r="J17" s="80">
        <v>6.6E9</v>
      </c>
      <c r="K17" s="119">
        <v>2.13171E10</v>
      </c>
    </row>
    <row r="18" ht="19.5" customHeight="1">
      <c r="B18" s="44" t="s">
        <v>351</v>
      </c>
      <c r="C18" s="79">
        <v>0.0</v>
      </c>
      <c r="D18" s="79">
        <v>0.0</v>
      </c>
      <c r="E18" s="79">
        <v>4.0E7</v>
      </c>
      <c r="F18" s="79">
        <v>8.0E7</v>
      </c>
      <c r="G18" s="79">
        <v>1.2E8</v>
      </c>
      <c r="H18" s="79">
        <v>1.6E8</v>
      </c>
      <c r="I18" s="79">
        <v>2.0E8</v>
      </c>
      <c r="J18" s="79">
        <v>2.4E8</v>
      </c>
      <c r="K18" s="118">
        <v>8.4E8</v>
      </c>
    </row>
    <row r="19" ht="19.5" customHeight="1">
      <c r="B19" s="40" t="s">
        <v>352</v>
      </c>
      <c r="C19" s="80">
        <v>0.0</v>
      </c>
      <c r="D19" s="80">
        <v>0.0</v>
      </c>
      <c r="E19" s="80">
        <v>0.0</v>
      </c>
      <c r="F19" s="80">
        <v>2.0E7</v>
      </c>
      <c r="G19" s="80">
        <v>4.0E7</v>
      </c>
      <c r="H19" s="80">
        <v>6.0E7</v>
      </c>
      <c r="I19" s="80">
        <v>8.0E7</v>
      </c>
      <c r="J19" s="80">
        <v>1.2E8</v>
      </c>
      <c r="K19" s="119">
        <v>3.2E8</v>
      </c>
    </row>
    <row r="20" ht="24.0" customHeight="1">
      <c r="B20" s="120" t="s">
        <v>314</v>
      </c>
      <c r="C20" s="121">
        <v>0.0</v>
      </c>
      <c r="D20" s="121">
        <v>2.49E8</v>
      </c>
      <c r="E20" s="121">
        <v>6.625E8</v>
      </c>
      <c r="F20" s="121">
        <v>1.0756E9</v>
      </c>
      <c r="G20" s="121">
        <v>3.8725E9</v>
      </c>
      <c r="H20" s="121">
        <v>4.4275E9</v>
      </c>
      <c r="I20" s="121">
        <v>5.23E9</v>
      </c>
      <c r="J20" s="121">
        <v>6.96E9</v>
      </c>
      <c r="K20" s="121">
        <v>2.24771E10</v>
      </c>
    </row>
    <row r="21" ht="15.75" customHeight="1"/>
    <row r="22" ht="21.75" customHeight="1">
      <c r="B22" s="55" t="s">
        <v>336</v>
      </c>
      <c r="C22" s="38"/>
      <c r="D22" s="38"/>
      <c r="E22" s="38"/>
      <c r="F22" s="38"/>
      <c r="G22" s="38"/>
      <c r="H22" s="38"/>
      <c r="I22" s="38"/>
      <c r="J22" s="38"/>
      <c r="K22" s="39"/>
    </row>
    <row r="23" ht="19.5" customHeight="1">
      <c r="B23" s="40" t="s">
        <v>353</v>
      </c>
      <c r="C23" s="80">
        <v>3.0E8</v>
      </c>
      <c r="D23" s="80">
        <v>0.0</v>
      </c>
      <c r="E23" s="80">
        <v>0.0</v>
      </c>
      <c r="F23" s="80">
        <v>0.0</v>
      </c>
      <c r="G23" s="80">
        <v>0.0</v>
      </c>
      <c r="H23" s="80">
        <v>0.0</v>
      </c>
      <c r="I23" s="80">
        <v>0.0</v>
      </c>
      <c r="J23" s="80">
        <v>0.0</v>
      </c>
      <c r="K23" s="127">
        <v>3.0E8</v>
      </c>
    </row>
    <row r="24" ht="19.5" customHeight="1">
      <c r="B24" s="56" t="s">
        <v>354</v>
      </c>
      <c r="C24" s="128">
        <v>0.0</v>
      </c>
      <c r="D24" s="128">
        <v>2.0E8</v>
      </c>
      <c r="E24" s="128">
        <v>2.0E8</v>
      </c>
      <c r="F24" s="128">
        <v>0.0</v>
      </c>
      <c r="G24" s="128">
        <v>0.0</v>
      </c>
      <c r="H24" s="128">
        <v>0.0</v>
      </c>
      <c r="I24" s="128">
        <v>0.0</v>
      </c>
      <c r="J24" s="128">
        <v>0.0</v>
      </c>
      <c r="K24" s="129">
        <v>4.0E8</v>
      </c>
    </row>
    <row r="25" ht="15.75" customHeight="1"/>
    <row r="26" ht="21.75" customHeight="1">
      <c r="B26" s="72" t="s">
        <v>315</v>
      </c>
      <c r="C26" s="38"/>
      <c r="D26" s="38"/>
      <c r="E26" s="38"/>
      <c r="F26" s="38"/>
      <c r="G26" s="38"/>
      <c r="H26" s="38"/>
      <c r="I26" s="38"/>
      <c r="J26" s="38"/>
      <c r="K26" s="39"/>
    </row>
    <row r="27" ht="24.0" customHeight="1">
      <c r="B27" s="122" t="s">
        <v>316</v>
      </c>
      <c r="C27" s="123">
        <v>-2.97E8</v>
      </c>
      <c r="D27" s="123">
        <v>-2.3E7</v>
      </c>
      <c r="E27" s="123">
        <v>-1.25E7</v>
      </c>
      <c r="F27" s="123">
        <v>-2.14E7</v>
      </c>
      <c r="G27" s="123">
        <v>3.1345E9</v>
      </c>
      <c r="H27" s="123">
        <v>3.7975E9</v>
      </c>
      <c r="I27" s="123">
        <v>4.48E9</v>
      </c>
      <c r="J27" s="123">
        <v>6.04E9</v>
      </c>
      <c r="K27" s="123">
        <v>1.70981E10</v>
      </c>
    </row>
    <row r="28" ht="24.0" customHeight="1">
      <c r="B28" s="124" t="s">
        <v>317</v>
      </c>
      <c r="C28" s="125">
        <v>-2.97E8</v>
      </c>
      <c r="D28" s="125">
        <v>-3.2E8</v>
      </c>
      <c r="E28" s="125">
        <v>-3.325E8</v>
      </c>
      <c r="F28" s="125">
        <v>-3.539E8</v>
      </c>
      <c r="G28" s="125">
        <v>2.7806E9</v>
      </c>
      <c r="H28" s="125">
        <v>6.5781E9</v>
      </c>
      <c r="I28" s="125">
        <v>1.10581E10</v>
      </c>
      <c r="J28" s="125">
        <v>1.70981E10</v>
      </c>
      <c r="K28" s="125">
        <v>1.70981E10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6">
    <mergeCell ref="B22:K22"/>
    <mergeCell ref="B4:K4"/>
    <mergeCell ref="B26:K26"/>
    <mergeCell ref="A2:K2"/>
    <mergeCell ref="B16:K16"/>
    <mergeCell ref="A1:K1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4731"/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38.0"/>
    <col customWidth="1" min="3" max="5" width="22.0"/>
    <col customWidth="1" min="6" max="6" width="28.0"/>
    <col customWidth="1" min="7" max="11" width="8.71"/>
  </cols>
  <sheetData>
    <row r="1" ht="39.75" customHeight="1">
      <c r="A1" s="107" t="s">
        <v>355</v>
      </c>
      <c r="B1" s="13"/>
      <c r="C1" s="13"/>
      <c r="D1" s="13"/>
      <c r="E1" s="13"/>
      <c r="F1" s="14"/>
    </row>
    <row r="3" ht="21.75" customHeight="1">
      <c r="B3" s="37" t="s">
        <v>356</v>
      </c>
      <c r="C3" s="38"/>
      <c r="D3" s="38"/>
      <c r="E3" s="38"/>
      <c r="F3" s="39"/>
    </row>
    <row r="4" ht="31.5" customHeight="1">
      <c r="B4" s="36" t="s">
        <v>357</v>
      </c>
      <c r="C4" s="36" t="s">
        <v>358</v>
      </c>
      <c r="D4" s="36" t="s">
        <v>359</v>
      </c>
      <c r="E4" s="36" t="s">
        <v>360</v>
      </c>
      <c r="F4" s="36" t="s">
        <v>220</v>
      </c>
    </row>
    <row r="5" ht="21.75" customHeight="1">
      <c r="B5" s="44" t="s">
        <v>361</v>
      </c>
      <c r="C5" s="46" t="s">
        <v>362</v>
      </c>
      <c r="D5" s="46" t="s">
        <v>362</v>
      </c>
      <c r="E5" s="46" t="s">
        <v>363</v>
      </c>
      <c r="F5" s="44"/>
    </row>
    <row r="6" ht="21.75" customHeight="1">
      <c r="B6" s="40" t="s">
        <v>364</v>
      </c>
      <c r="C6" s="42" t="s">
        <v>362</v>
      </c>
      <c r="D6" s="42" t="s">
        <v>365</v>
      </c>
      <c r="E6" s="42" t="s">
        <v>366</v>
      </c>
      <c r="F6" s="40"/>
    </row>
    <row r="7" ht="21.75" customHeight="1">
      <c r="B7" s="95" t="s">
        <v>367</v>
      </c>
      <c r="C7" s="99" t="s">
        <v>368</v>
      </c>
      <c r="D7" s="99" t="s">
        <v>369</v>
      </c>
      <c r="E7" s="99" t="s">
        <v>370</v>
      </c>
      <c r="F7" s="95" t="s">
        <v>371</v>
      </c>
    </row>
    <row r="8" ht="21.75" customHeight="1">
      <c r="B8" s="95" t="s">
        <v>372</v>
      </c>
      <c r="C8" s="99" t="s">
        <v>373</v>
      </c>
      <c r="D8" s="99" t="s">
        <v>374</v>
      </c>
      <c r="E8" s="99" t="s">
        <v>375</v>
      </c>
      <c r="F8" s="95" t="s">
        <v>376</v>
      </c>
    </row>
    <row r="9" ht="21.75" customHeight="1">
      <c r="B9" s="44" t="s">
        <v>377</v>
      </c>
      <c r="C9" s="46" t="s">
        <v>378</v>
      </c>
      <c r="D9" s="46" t="s">
        <v>379</v>
      </c>
      <c r="E9" s="46" t="s">
        <v>380</v>
      </c>
      <c r="F9" s="44"/>
    </row>
    <row r="10" ht="21.75" customHeight="1">
      <c r="B10" s="40" t="s">
        <v>381</v>
      </c>
      <c r="C10" s="42" t="s">
        <v>382</v>
      </c>
      <c r="D10" s="42" t="s">
        <v>382</v>
      </c>
      <c r="E10" s="42" t="s">
        <v>383</v>
      </c>
      <c r="F10" s="40" t="s">
        <v>384</v>
      </c>
    </row>
    <row r="11" ht="21.75" customHeight="1">
      <c r="B11" s="44" t="s">
        <v>385</v>
      </c>
      <c r="C11" s="46" t="s">
        <v>386</v>
      </c>
      <c r="D11" s="46" t="s">
        <v>387</v>
      </c>
      <c r="E11" s="46" t="s">
        <v>388</v>
      </c>
      <c r="F11" s="44" t="s">
        <v>389</v>
      </c>
    </row>
    <row r="12" ht="21.75" customHeight="1">
      <c r="B12" s="95" t="s">
        <v>390</v>
      </c>
      <c r="C12" s="99" t="s">
        <v>391</v>
      </c>
      <c r="D12" s="99" t="s">
        <v>392</v>
      </c>
      <c r="E12" s="99" t="s">
        <v>393</v>
      </c>
      <c r="F12" s="95" t="s">
        <v>394</v>
      </c>
    </row>
    <row r="13" ht="21.75" customHeight="1">
      <c r="B13" s="95" t="s">
        <v>395</v>
      </c>
      <c r="C13" s="99" t="s">
        <v>396</v>
      </c>
      <c r="D13" s="99" t="s">
        <v>397</v>
      </c>
      <c r="E13" s="99" t="s">
        <v>398</v>
      </c>
      <c r="F13" s="95"/>
    </row>
    <row r="14" ht="21.75" customHeight="1">
      <c r="B14" s="40" t="s">
        <v>399</v>
      </c>
      <c r="C14" s="42" t="s">
        <v>400</v>
      </c>
      <c r="D14" s="42" t="s">
        <v>401</v>
      </c>
      <c r="E14" s="42" t="s">
        <v>402</v>
      </c>
      <c r="F14" s="40" t="s">
        <v>403</v>
      </c>
    </row>
    <row r="15" ht="21.75" customHeight="1">
      <c r="B15" s="44" t="s">
        <v>404</v>
      </c>
      <c r="C15" s="46" t="s">
        <v>405</v>
      </c>
      <c r="D15" s="46" t="s">
        <v>406</v>
      </c>
      <c r="E15" s="46" t="s">
        <v>407</v>
      </c>
      <c r="F15" s="44" t="s">
        <v>408</v>
      </c>
    </row>
    <row r="17" ht="21.75" customHeight="1">
      <c r="B17" s="72" t="s">
        <v>409</v>
      </c>
      <c r="C17" s="38"/>
      <c r="D17" s="38"/>
      <c r="E17" s="38"/>
      <c r="F17" s="39"/>
    </row>
    <row r="18">
      <c r="B18" s="109" t="s">
        <v>410</v>
      </c>
      <c r="C18" s="130" t="s">
        <v>411</v>
      </c>
      <c r="D18" s="28"/>
      <c r="E18" s="28"/>
      <c r="F18" s="29"/>
    </row>
    <row r="19" ht="21.75" customHeight="1">
      <c r="B19" s="109" t="s">
        <v>412</v>
      </c>
      <c r="C19" s="36" t="s">
        <v>413</v>
      </c>
      <c r="D19" s="36" t="s">
        <v>414</v>
      </c>
      <c r="E19" s="36" t="s">
        <v>415</v>
      </c>
      <c r="F19" s="36" t="s">
        <v>416</v>
      </c>
    </row>
    <row r="20" ht="21.75" customHeight="1">
      <c r="B20" s="131" t="s">
        <v>417</v>
      </c>
      <c r="C20" s="132">
        <v>8.0E8</v>
      </c>
      <c r="D20" s="132">
        <v>1.6E9</v>
      </c>
      <c r="E20" s="132">
        <v>3.2E9</v>
      </c>
      <c r="F20" s="133">
        <v>5.28E9</v>
      </c>
    </row>
    <row r="21" ht="21.75" customHeight="1">
      <c r="B21" s="110" t="s">
        <v>418</v>
      </c>
      <c r="C21" s="134">
        <v>1.3E9</v>
      </c>
      <c r="D21" s="134">
        <v>2.6E9</v>
      </c>
      <c r="E21" s="135">
        <v>5.2E9</v>
      </c>
      <c r="F21" s="135">
        <v>8.58E9</v>
      </c>
    </row>
    <row r="22" ht="21.75" customHeight="1">
      <c r="B22" s="131" t="s">
        <v>419</v>
      </c>
      <c r="C22" s="132">
        <v>1.8E9</v>
      </c>
      <c r="D22" s="132">
        <v>3.6E9</v>
      </c>
      <c r="E22" s="133">
        <v>7.2E9</v>
      </c>
      <c r="F22" s="133">
        <v>1.188E10</v>
      </c>
    </row>
    <row r="23" ht="21.75" customHeight="1">
      <c r="B23" s="110" t="s">
        <v>420</v>
      </c>
      <c r="C23" s="136">
        <v>2.5E9</v>
      </c>
      <c r="D23" s="136">
        <v>5.0E9</v>
      </c>
      <c r="E23" s="137">
        <v>1.0E10</v>
      </c>
      <c r="F23" s="137">
        <v>1.65E10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4">
    <mergeCell ref="C18:F18"/>
    <mergeCell ref="B17:F17"/>
    <mergeCell ref="A1:F1"/>
    <mergeCell ref="B3:F3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7E22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.0"/>
    <col customWidth="1" min="3" max="15" width="14.0"/>
  </cols>
  <sheetData>
    <row r="1" ht="49.5" customHeight="1">
      <c r="A1" s="138" t="s">
        <v>421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4" ht="21.75" customHeight="1">
      <c r="C4" s="15" t="s">
        <v>422</v>
      </c>
      <c r="D4" s="13"/>
      <c r="E4" s="13"/>
      <c r="F4" s="14"/>
      <c r="G4" s="139" t="s">
        <v>423</v>
      </c>
      <c r="H4" s="13"/>
      <c r="I4" s="13"/>
      <c r="J4" s="14"/>
      <c r="K4" s="16" t="s">
        <v>424</v>
      </c>
      <c r="L4" s="13"/>
      <c r="M4" s="13"/>
      <c r="N4" s="14"/>
      <c r="O4" s="17" t="s">
        <v>425</v>
      </c>
    </row>
    <row r="5" ht="21.75" customHeight="1">
      <c r="C5" s="140" t="s">
        <v>426</v>
      </c>
      <c r="D5" s="2"/>
      <c r="E5" s="2"/>
      <c r="F5" s="3"/>
      <c r="G5" s="140" t="s">
        <v>427</v>
      </c>
      <c r="H5" s="2"/>
      <c r="I5" s="2"/>
      <c r="J5" s="3"/>
      <c r="K5" s="141" t="s">
        <v>428</v>
      </c>
      <c r="L5" s="2"/>
      <c r="M5" s="2"/>
      <c r="N5" s="3"/>
      <c r="O5" s="142" t="s">
        <v>429</v>
      </c>
    </row>
    <row r="6" ht="21.75" customHeight="1">
      <c r="C6" s="4"/>
      <c r="F6" s="5"/>
      <c r="G6" s="4"/>
      <c r="J6" s="5"/>
      <c r="K6" s="4"/>
      <c r="N6" s="5"/>
      <c r="O6" s="21"/>
    </row>
    <row r="7" ht="21.75" customHeight="1">
      <c r="C7" s="6"/>
      <c r="D7" s="7"/>
      <c r="E7" s="7"/>
      <c r="F7" s="8"/>
      <c r="G7" s="6"/>
      <c r="H7" s="7"/>
      <c r="I7" s="7"/>
      <c r="J7" s="8"/>
      <c r="K7" s="6"/>
      <c r="L7" s="7"/>
      <c r="M7" s="7"/>
      <c r="N7" s="8"/>
      <c r="O7" s="22"/>
    </row>
    <row r="8" ht="12.0" customHeight="1"/>
    <row r="9" ht="25.5" customHeight="1">
      <c r="C9" s="25" t="s">
        <v>430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4"/>
    </row>
    <row r="10" ht="27.75" customHeight="1">
      <c r="C10" s="82" t="s">
        <v>431</v>
      </c>
      <c r="D10" s="82" t="s">
        <v>432</v>
      </c>
      <c r="E10" s="82" t="s">
        <v>433</v>
      </c>
      <c r="F10" s="82" t="s">
        <v>434</v>
      </c>
      <c r="G10" s="82" t="s">
        <v>435</v>
      </c>
      <c r="H10" s="82" t="s">
        <v>436</v>
      </c>
      <c r="I10" s="82" t="s">
        <v>437</v>
      </c>
      <c r="J10" s="82" t="s">
        <v>438</v>
      </c>
    </row>
    <row r="11" ht="31.5" customHeight="1">
      <c r="C11" s="47" t="s">
        <v>439</v>
      </c>
      <c r="D11" s="143" t="s">
        <v>362</v>
      </c>
      <c r="E11" s="143" t="s">
        <v>440</v>
      </c>
      <c r="F11" s="143" t="s">
        <v>368</v>
      </c>
      <c r="G11" s="143" t="s">
        <v>373</v>
      </c>
      <c r="H11" s="143" t="s">
        <v>391</v>
      </c>
      <c r="I11" s="143" t="s">
        <v>382</v>
      </c>
      <c r="J11" s="143" t="s">
        <v>441</v>
      </c>
    </row>
    <row r="12" ht="31.5" customHeight="1">
      <c r="C12" s="144" t="s">
        <v>442</v>
      </c>
      <c r="D12" s="145" t="s">
        <v>365</v>
      </c>
      <c r="E12" s="145" t="s">
        <v>443</v>
      </c>
      <c r="F12" s="145" t="s">
        <v>369</v>
      </c>
      <c r="G12" s="145" t="s">
        <v>374</v>
      </c>
      <c r="H12" s="145" t="s">
        <v>392</v>
      </c>
      <c r="I12" s="145" t="s">
        <v>382</v>
      </c>
      <c r="J12" s="145" t="s">
        <v>444</v>
      </c>
    </row>
    <row r="13" ht="31.5" customHeight="1">
      <c r="C13" s="47" t="s">
        <v>445</v>
      </c>
      <c r="D13" s="143" t="s">
        <v>446</v>
      </c>
      <c r="E13" s="143" t="s">
        <v>447</v>
      </c>
      <c r="F13" s="143" t="s">
        <v>370</v>
      </c>
      <c r="G13" s="143" t="s">
        <v>375</v>
      </c>
      <c r="H13" s="143" t="s">
        <v>393</v>
      </c>
      <c r="I13" s="143" t="s">
        <v>383</v>
      </c>
      <c r="J13" s="143" t="s">
        <v>448</v>
      </c>
    </row>
    <row r="15" ht="12.0" customHeight="1"/>
    <row r="16">
      <c r="C16" s="146" t="s">
        <v>449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4"/>
    </row>
    <row r="17" ht="25.5" customHeight="1">
      <c r="C17" s="82" t="s">
        <v>162</v>
      </c>
      <c r="D17" s="82" t="s">
        <v>320</v>
      </c>
      <c r="E17" s="82" t="s">
        <v>321</v>
      </c>
      <c r="F17" s="82" t="s">
        <v>322</v>
      </c>
      <c r="G17" s="82" t="s">
        <v>323</v>
      </c>
      <c r="H17" s="82" t="s">
        <v>324</v>
      </c>
      <c r="I17" s="82" t="s">
        <v>325</v>
      </c>
    </row>
    <row r="18" ht="21.75" customHeight="1">
      <c r="C18" s="47" t="s">
        <v>450</v>
      </c>
      <c r="D18" s="147">
        <v>0.0</v>
      </c>
      <c r="E18" s="148">
        <v>9750.0</v>
      </c>
      <c r="F18" s="148">
        <v>24375.0</v>
      </c>
      <c r="G18" s="148">
        <v>38200.0</v>
      </c>
      <c r="H18" s="148">
        <v>66000.0</v>
      </c>
      <c r="I18" s="148">
        <v>66000.0</v>
      </c>
    </row>
    <row r="19" ht="21.75" customHeight="1">
      <c r="C19" s="43" t="s">
        <v>451</v>
      </c>
      <c r="D19" s="149">
        <v>0.0</v>
      </c>
      <c r="E19" s="150">
        <v>175000.0</v>
      </c>
      <c r="F19" s="150">
        <v>190000.0</v>
      </c>
      <c r="G19" s="150">
        <v>190000.0</v>
      </c>
      <c r="H19" s="150">
        <v>190000.0</v>
      </c>
      <c r="I19" s="150">
        <v>190000.0</v>
      </c>
    </row>
    <row r="20" ht="21.75" customHeight="1">
      <c r="C20" s="47" t="s">
        <v>452</v>
      </c>
      <c r="D20" s="147">
        <v>0.0</v>
      </c>
      <c r="E20" s="148">
        <v>2.49E8</v>
      </c>
      <c r="F20" s="148">
        <v>6.225E8</v>
      </c>
      <c r="G20" s="148">
        <v>9.756E8</v>
      </c>
      <c r="H20" s="148">
        <v>4.2075E9</v>
      </c>
      <c r="I20" s="148">
        <v>4.2075E9</v>
      </c>
    </row>
    <row r="21" ht="21.75" customHeight="1">
      <c r="C21" s="43" t="s">
        <v>453</v>
      </c>
      <c r="D21" s="149" t="s">
        <v>454</v>
      </c>
      <c r="E21" s="151">
        <v>-5.285E8</v>
      </c>
      <c r="F21" s="151">
        <v>-1.0165E9</v>
      </c>
      <c r="G21" s="151">
        <v>-1.057E9</v>
      </c>
      <c r="H21" s="151">
        <v>-6.236E8</v>
      </c>
      <c r="I21" s="151">
        <v>-4.076E8</v>
      </c>
    </row>
    <row r="22" ht="21.75" customHeight="1">
      <c r="C22" s="47" t="s">
        <v>455</v>
      </c>
      <c r="D22" s="147">
        <v>0.0</v>
      </c>
      <c r="E22" s="152">
        <v>-2.8E7</v>
      </c>
      <c r="F22" s="152">
        <v>-5.6E7</v>
      </c>
      <c r="G22" s="152">
        <v>-5.6E7</v>
      </c>
      <c r="H22" s="152">
        <v>-5.6E7</v>
      </c>
      <c r="I22" s="152">
        <v>-5.6E7</v>
      </c>
    </row>
    <row r="23" ht="21.75" customHeight="1">
      <c r="C23" s="153" t="s">
        <v>456</v>
      </c>
      <c r="D23" s="154" t="s">
        <v>454</v>
      </c>
      <c r="E23" s="155">
        <v>-3.075E8</v>
      </c>
      <c r="F23" s="155">
        <v>-4.5E8</v>
      </c>
      <c r="G23" s="155">
        <v>-1.374E8</v>
      </c>
      <c r="H23" s="156">
        <v>3.5279E9</v>
      </c>
      <c r="I23" s="156">
        <v>3.7439E9</v>
      </c>
    </row>
    <row r="24" ht="21.75" customHeight="1">
      <c r="C24" s="157" t="s">
        <v>457</v>
      </c>
      <c r="D24" s="158" t="s">
        <v>454</v>
      </c>
      <c r="E24" s="158" t="s">
        <v>458</v>
      </c>
      <c r="F24" s="158" t="s">
        <v>459</v>
      </c>
      <c r="G24" s="158" t="s">
        <v>460</v>
      </c>
      <c r="H24" s="158" t="s">
        <v>461</v>
      </c>
      <c r="I24" s="158" t="s">
        <v>462</v>
      </c>
    </row>
    <row r="25" ht="15.75" customHeight="1"/>
    <row r="26" ht="15.75" customHeight="1"/>
    <row r="27" ht="24.0" customHeight="1">
      <c r="A27" s="159" t="s">
        <v>463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4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1">
    <mergeCell ref="G4:J4"/>
    <mergeCell ref="G5:J7"/>
    <mergeCell ref="C4:F4"/>
    <mergeCell ref="C5:F7"/>
    <mergeCell ref="C9:O9"/>
    <mergeCell ref="K4:N4"/>
    <mergeCell ref="A1:O2"/>
    <mergeCell ref="O5:O7"/>
    <mergeCell ref="A27:O27"/>
    <mergeCell ref="C16:O16"/>
    <mergeCell ref="K5:N7"/>
  </mergeCells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2026-04-11T16:13:22Z</dcterms:created>
  <dc:creator>openpyxl</dc:creator>
  <dcterms:modified xsi:type="dcterms:W3CDTF">2026-04-11T16:13:23Z</dcterms:modified>
</cp:coreProperties>
</file>