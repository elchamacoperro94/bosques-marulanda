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PAQUETES COMERCIALES" sheetId="3" state="visible" r:id="rId3"/>
    <sheet xmlns:r="http://schemas.openxmlformats.org/officeDocument/2006/relationships" name="MERCADO OBJETIVO" sheetId="4" state="visible" r:id="rId4"/>
    <sheet xmlns:r="http://schemas.openxmlformats.org/officeDocument/2006/relationships" name="COSTOS DE INVERSIÓN" sheetId="5" state="visible" r:id="rId5"/>
    <sheet xmlns:r="http://schemas.openxmlformats.org/officeDocument/2006/relationships" name="ESC A — RECURSOS PROPIOS" sheetId="6" state="visible" r:id="rId6"/>
    <sheet xmlns:r="http://schemas.openxmlformats.org/officeDocument/2006/relationships" name="ESC B — FINANCIACIÓN MIXTA" sheetId="7" state="visible" r:id="rId7"/>
    <sheet xmlns:r="http://schemas.openxmlformats.org/officeDocument/2006/relationships" name="ESC C — SAS + INVERSIÓN IMPACTO" sheetId="8" state="visible" r:id="rId8"/>
    <sheet xmlns:r="http://schemas.openxmlformats.org/officeDocument/2006/relationships" name="VALORACIÓN &amp; MÉTRICAS" sheetId="9" state="visible" r:id="rId9"/>
    <sheet xmlns:r="http://schemas.openxmlformats.org/officeDocument/2006/relationships"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$#,##0"/>
    <numFmt numFmtId="167" formatCode="#,##0.0"/>
  </numFmts>
  <fonts count="34">
    <font>
      <name val="Calibri"/>
      <family val="2"/>
      <color theme="1"/>
      <sz val="11"/>
      <scheme val="minor"/>
    </font>
    <font>
      <name val="Arial"/>
      <b val="1"/>
      <color rgb="00FFFFFF"/>
      <sz val="32"/>
    </font>
    <font>
      <name val="Arial"/>
      <b val="1"/>
      <color rgb="00FFFFFF"/>
      <sz val="18"/>
    </font>
    <font>
      <name val="Arial"/>
      <color rgb="00FFFFFF"/>
      <sz val="13"/>
    </font>
    <font>
      <name val="Arial"/>
      <b val="1"/>
      <color rgb="00FFFFFF"/>
      <sz val="9"/>
    </font>
    <font>
      <name val="Arial"/>
      <b val="1"/>
      <color rgb="001A4731"/>
      <sz val="16"/>
    </font>
    <font>
      <name val="Arial"/>
      <color rgb="00404040"/>
      <sz val="9"/>
    </font>
    <font>
      <name val="Arial"/>
      <b val="1"/>
      <color rgb="00B7950B"/>
      <sz val="16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A4731"/>
      <sz val="10"/>
    </font>
    <font>
      <name val="Arial"/>
      <color rgb="00404040"/>
      <sz val="10"/>
    </font>
    <font>
      <name val="Arial"/>
      <color rgb="00FFFFFF"/>
      <sz val="9"/>
    </font>
    <font>
      <name val="Arial"/>
      <b val="1"/>
      <color rgb="00FFFFFF"/>
      <sz val="16"/>
    </font>
    <font>
      <name val="Arial"/>
      <color rgb="00B7950B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color rgb="00404040"/>
      <sz val="10"/>
    </font>
    <font>
      <name val="Arial"/>
      <b val="1"/>
      <color rgb="000000FF"/>
      <sz val="10"/>
    </font>
    <font>
      <name val="Arial"/>
      <color rgb="0040916C"/>
      <sz val="10"/>
    </font>
    <font>
      <name val="Arial"/>
      <color rgb="00C0392B"/>
      <sz val="10"/>
    </font>
    <font>
      <name val="Arial"/>
      <color rgb="001A4731"/>
      <sz val="11"/>
    </font>
    <font>
      <name val="Arial"/>
      <b val="1"/>
      <color rgb="00FFFFFF"/>
      <sz val="15"/>
    </font>
    <font>
      <name val="Arial"/>
      <color rgb="001A4731"/>
      <sz val="10"/>
    </font>
    <font>
      <name val="Arial"/>
      <color rgb="00000000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FFFFFF"/>
      <sz val="20"/>
    </font>
    <font>
      <name val="Arial"/>
      <b val="1"/>
      <color rgb="001A4731"/>
      <sz val="18"/>
    </font>
    <font>
      <name val="Arial"/>
      <b val="1"/>
      <color rgb="00B7950B"/>
      <sz val="18"/>
    </font>
    <font>
      <name val="Arial"/>
      <b val="1"/>
      <color rgb="001A4731"/>
      <sz val="9"/>
    </font>
    <font>
      <name val="Arial"/>
      <color rgb="00C0392B"/>
      <sz val="9"/>
    </font>
    <font>
      <name val="Arial"/>
      <b val="1"/>
      <color rgb="00404040"/>
      <sz val="9"/>
    </font>
    <font>
      <name val="Arial"/>
      <b val="1"/>
      <color rgb="00C0392B"/>
      <sz val="9"/>
    </font>
  </fonts>
  <fills count="13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2D6A4F"/>
      </patternFill>
    </fill>
    <fill>
      <patternFill patternType="solid">
        <fgColor rgb="0040916C"/>
      </patternFill>
    </fill>
    <fill>
      <patternFill patternType="solid">
        <fgColor rgb="00B7950B"/>
      </patternFill>
    </fill>
    <fill>
      <patternFill patternType="solid">
        <fgColor rgb="00D8F3DC"/>
      </patternFill>
    </fill>
    <fill>
      <patternFill patternType="solid">
        <fgColor rgb="00F5F5F5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C0392B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1A4731"/>
      </left>
      <right style="medium">
        <color rgb="001A4731"/>
      </right>
      <top style="medium">
        <color rgb="001A4731"/>
      </top>
      <bottom style="medium">
        <color rgb="001A4731"/>
      </bottom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5" fillId="3" borderId="2" applyAlignment="1" pivotButton="0" quotePrefix="0" xfId="0">
      <alignment horizontal="left" vertical="center" wrapText="1"/>
    </xf>
    <xf numFmtId="3" fontId="16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165" fontId="16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3" fontId="16" fillId="6" borderId="1" applyAlignment="1" pivotButton="0" quotePrefix="0" xfId="0">
      <alignment horizontal="center" vertical="center" wrapText="1"/>
    </xf>
    <xf numFmtId="165" fontId="16" fillId="9" borderId="1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3" fontId="18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3" fontId="16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165" fontId="16" fillId="8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164" fontId="18" fillId="6" borderId="1" applyAlignment="1" pivotButton="0" quotePrefix="0" xfId="0">
      <alignment horizontal="right" vertical="center"/>
    </xf>
    <xf numFmtId="164" fontId="14" fillId="8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 wrapText="1"/>
    </xf>
    <xf numFmtId="164" fontId="18" fillId="9" borderId="1" applyAlignment="1" pivotButton="0" quotePrefix="0" xfId="0">
      <alignment horizontal="right" vertical="center"/>
    </xf>
    <xf numFmtId="165" fontId="16" fillId="9" borderId="1" applyAlignment="1" pivotButton="0" quotePrefix="0" xfId="0">
      <alignment horizontal="right" vertical="center"/>
    </xf>
    <xf numFmtId="164" fontId="16" fillId="6" borderId="1" applyAlignment="1" pivotButton="0" quotePrefix="0" xfId="0">
      <alignment horizontal="right" vertical="center"/>
    </xf>
    <xf numFmtId="164" fontId="16" fillId="9" borderId="1" applyAlignment="1" pivotButton="0" quotePrefix="0" xfId="0">
      <alignment horizontal="right" vertical="center"/>
    </xf>
    <xf numFmtId="0" fontId="21" fillId="6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6" fontId="16" fillId="6" borderId="1" applyAlignment="1" pivotButton="0" quotePrefix="0" xfId="0">
      <alignment horizontal="center" vertical="center" wrapText="1"/>
    </xf>
    <xf numFmtId="166" fontId="16" fillId="9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3" fontId="9" fillId="2" borderId="1" applyAlignment="1" pivotButton="0" quotePrefix="0" xfId="0">
      <alignment horizontal="center" vertical="center" wrapText="1"/>
    </xf>
    <xf numFmtId="166" fontId="9" fillId="2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center" vertical="center" wrapText="1"/>
    </xf>
    <xf numFmtId="167" fontId="11" fillId="6" borderId="1" applyAlignment="1" pivotButton="0" quotePrefix="0" xfId="0">
      <alignment horizontal="center" vertical="center" wrapText="1"/>
    </xf>
    <xf numFmtId="166" fontId="11" fillId="6" borderId="1" applyAlignment="1" pivotButton="0" quotePrefix="0" xfId="0">
      <alignment horizontal="center" vertical="center" wrapText="1"/>
    </xf>
    <xf numFmtId="3" fontId="11" fillId="9" borderId="1" applyAlignment="1" pivotButton="0" quotePrefix="0" xfId="0">
      <alignment horizontal="center" vertical="center" wrapText="1"/>
    </xf>
    <xf numFmtId="167" fontId="11" fillId="9" borderId="1" applyAlignment="1" pivotButton="0" quotePrefix="0" xfId="0">
      <alignment horizontal="center" vertical="center" wrapText="1"/>
    </xf>
    <xf numFmtId="166" fontId="11" fillId="9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3" fontId="10" fillId="8" borderId="1" applyAlignment="1" pivotButton="0" quotePrefix="0" xfId="0">
      <alignment horizontal="center" vertical="center" wrapText="1"/>
    </xf>
    <xf numFmtId="167" fontId="10" fillId="8" borderId="1" applyAlignment="1" pivotButton="0" quotePrefix="0" xfId="0">
      <alignment horizontal="center" vertical="center" wrapText="1"/>
    </xf>
    <xf numFmtId="166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6" fontId="16" fillId="9" borderId="1" applyAlignment="1" pivotButton="0" quotePrefix="0" xfId="0">
      <alignment horizontal="right" vertical="center"/>
    </xf>
    <xf numFmtId="166" fontId="16" fillId="6" borderId="1" applyAlignment="1" pivotButton="0" quotePrefix="0" xfId="0">
      <alignment horizontal="right" vertical="center"/>
    </xf>
    <xf numFmtId="166" fontId="17" fillId="11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 wrapText="1"/>
    </xf>
    <xf numFmtId="166" fontId="8" fillId="2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wrapText="1"/>
    </xf>
    <xf numFmtId="166" fontId="8" fillId="4" borderId="1" applyAlignment="1" pivotButton="0" quotePrefix="0" xfId="0">
      <alignment horizontal="right" vertical="center"/>
    </xf>
    <xf numFmtId="0" fontId="22" fillId="2" borderId="0" applyAlignment="1" pivotButton="0" quotePrefix="0" xfId="0">
      <alignment horizontal="center" vertical="center" wrapText="1"/>
    </xf>
    <xf numFmtId="0" fontId="23" fillId="6" borderId="0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left" vertical="center" wrapText="1"/>
    </xf>
    <xf numFmtId="164" fontId="20" fillId="9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 wrapText="1"/>
    </xf>
    <xf numFmtId="164" fontId="16" fillId="7" borderId="1" applyAlignment="1" pivotButton="0" quotePrefix="0" xfId="0">
      <alignment horizontal="right" vertical="center"/>
    </xf>
    <xf numFmtId="164" fontId="20" fillId="7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 wrapText="1"/>
    </xf>
    <xf numFmtId="164" fontId="9" fillId="12" borderId="1" applyAlignment="1" pivotButton="0" quotePrefix="0" xfId="0">
      <alignment horizontal="right" vertical="center"/>
    </xf>
    <xf numFmtId="164" fontId="24" fillId="6" borderId="1" applyAlignment="1" pivotButton="0" quotePrefix="0" xfId="0">
      <alignment horizontal="right" vertical="center"/>
    </xf>
    <xf numFmtId="164" fontId="24" fillId="9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left" vertical="center" wrapText="1"/>
    </xf>
    <xf numFmtId="164" fontId="15" fillId="3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left" vertical="center" wrapText="1"/>
    </xf>
    <xf numFmtId="164" fontId="15" fillId="2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 wrapText="1"/>
    </xf>
    <xf numFmtId="164" fontId="25" fillId="9" borderId="1" applyAlignment="1" pivotButton="0" quotePrefix="0" xfId="0">
      <alignment horizontal="right" vertical="center"/>
    </xf>
    <xf numFmtId="164" fontId="16" fillId="8" borderId="1" applyAlignment="1" pivotButton="0" quotePrefix="0" xfId="0">
      <alignment horizontal="right" vertical="center"/>
    </xf>
    <xf numFmtId="164" fontId="25" fillId="8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 wrapText="1"/>
    </xf>
    <xf numFmtId="166" fontId="24" fillId="9" borderId="1" applyAlignment="1" pivotButton="0" quotePrefix="0" xfId="0">
      <alignment horizontal="right" vertical="center"/>
    </xf>
    <xf numFmtId="166" fontId="23" fillId="9" borderId="1" applyAlignment="1" pivotButton="0" quotePrefix="0" xfId="0">
      <alignment horizontal="right" vertical="center"/>
    </xf>
    <xf numFmtId="166" fontId="26" fillId="6" borderId="1" applyAlignment="1" pivotButton="0" quotePrefix="0" xfId="0">
      <alignment horizontal="right" vertical="center"/>
    </xf>
    <xf numFmtId="166" fontId="10" fillId="6" borderId="1" applyAlignment="1" pivotButton="0" quotePrefix="0" xfId="0">
      <alignment horizontal="right" vertical="center"/>
    </xf>
    <xf numFmtId="166" fontId="26" fillId="8" borderId="1" applyAlignment="1" pivotButton="0" quotePrefix="0" xfId="0">
      <alignment horizontal="right" vertical="center"/>
    </xf>
    <xf numFmtId="166" fontId="10" fillId="8" borderId="1" applyAlignment="1" pivotButton="0" quotePrefix="0" xfId="0">
      <alignment horizontal="right" vertical="center"/>
    </xf>
    <xf numFmtId="0" fontId="27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28" fillId="6" borderId="0" applyAlignment="1" pivotButton="0" quotePrefix="0" xfId="0">
      <alignment horizontal="center" vertical="center" wrapText="1"/>
    </xf>
    <xf numFmtId="0" fontId="29" fillId="8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left" vertical="center" wrapText="1"/>
    </xf>
    <xf numFmtId="0" fontId="30" fillId="8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31" fillId="9" borderId="1" applyAlignment="1" pivotButton="0" quotePrefix="0" xfId="0">
      <alignment horizontal="right" vertical="center"/>
    </xf>
    <xf numFmtId="164" fontId="31" fillId="6" borderId="1" applyAlignment="1" pivotButton="0" quotePrefix="0" xfId="0">
      <alignment horizontal="right" vertical="center"/>
    </xf>
    <xf numFmtId="0" fontId="32" fillId="6" borderId="1" applyAlignment="1" pivotButton="0" quotePrefix="0" xfId="0">
      <alignment horizontal="left" vertical="center" wrapText="1"/>
    </xf>
    <xf numFmtId="0" fontId="32" fillId="6" borderId="1" applyAlignment="1" pivotButton="0" quotePrefix="0" xfId="0">
      <alignment horizontal="right" vertical="center"/>
    </xf>
    <xf numFmtId="164" fontId="33" fillId="6" borderId="1" applyAlignment="1" pivotButton="0" quotePrefix="0" xfId="0">
      <alignment horizontal="right" vertical="center"/>
    </xf>
    <xf numFmtId="164" fontId="32" fillId="6" borderId="1" applyAlignment="1" pivotButton="0" quotePrefix="0" xfId="0">
      <alignment horizontal="right" vertical="center"/>
    </xf>
    <xf numFmtId="0" fontId="32" fillId="8" borderId="1" applyAlignment="1" pivotButton="0" quotePrefix="0" xfId="0">
      <alignment horizontal="left" vertical="center" wrapText="1"/>
    </xf>
    <xf numFmtId="0" fontId="32" fillId="8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4731"/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8" customHeight="1">
      <c r="A1" s="1" t="n"/>
    </row>
    <row r="2" ht="8" customHeight="1">
      <c r="A2" s="1" t="n"/>
    </row>
    <row r="3" ht="8" customHeight="1">
      <c r="A3" s="1" t="n"/>
    </row>
    <row r="4" ht="60" customHeight="1">
      <c r="A4" s="2" t="inlineStr">
        <is>
          <t>🌿  BOSQUES MARULANDA</t>
        </is>
      </c>
    </row>
    <row r="5"/>
    <row r="6"/>
    <row r="7"/>
    <row r="8"/>
    <row r="9"/>
    <row r="10"/>
    <row r="11" ht="40" customHeight="1">
      <c r="A11" s="3" t="inlineStr">
        <is>
          <t>MODELO DE INVERSIÓN AMBIENTAL — LEY 2173 DE 2021</t>
        </is>
      </c>
    </row>
    <row r="12"/>
    <row r="13"/>
    <row r="14"/>
    <row r="15" ht="28" customHeight="1">
      <c r="A15" s="4" t="inlineStr">
        <is>
          <t>Municipio de Marulanda, Caldas, Colombia  |  130 ha Totales  |  60 ha Productivas</t>
        </is>
      </c>
    </row>
    <row r="16"/>
    <row r="17"/>
    <row r="18" ht="8" customHeight="1">
      <c r="A18" s="5" t="n"/>
    </row>
    <row r="19" ht="12" customHeight="1"/>
    <row r="20" ht="16" customHeight="1">
      <c r="B20" s="6" t="inlineStr">
        <is>
          <t>CAPACIDAD TOTAL</t>
        </is>
      </c>
      <c r="F20" s="6" t="inlineStr">
        <is>
          <t>PAQUETE BÁSICO</t>
        </is>
      </c>
      <c r="I20" s="7" t="inlineStr">
        <is>
          <t>PAQUETE PREMIUM</t>
        </is>
      </c>
      <c r="L20" s="6" t="inlineStr">
        <is>
          <t>RETORNO PROYECTADO</t>
        </is>
      </c>
    </row>
    <row r="21" ht="16" customHeight="1">
      <c r="B21" s="8" t="inlineStr">
        <is>
          <t>66.000 árboles</t>
        </is>
      </c>
      <c r="F21" s="8" t="inlineStr">
        <is>
          <t>$130.000 / árbol</t>
        </is>
      </c>
      <c r="I21" s="9" t="inlineStr">
        <is>
          <t>$250.000 / árbol</t>
        </is>
      </c>
      <c r="L21" s="8" t="inlineStr">
        <is>
          <t>TIR 24% – 38%</t>
        </is>
      </c>
    </row>
    <row r="22" ht="16" customHeight="1"/>
    <row r="23" ht="16" customHeight="1"/>
    <row r="24" ht="16" customHeight="1">
      <c r="B24" s="10" t="inlineStr">
        <is>
          <t>60 ha × 1.100 árb/ha</t>
        </is>
      </c>
      <c r="F24" s="10" t="inlineStr">
        <is>
          <t>Siembra + certificación</t>
        </is>
      </c>
      <c r="I24" s="10" t="inlineStr">
        <is>
          <t>Experiencia completa</t>
        </is>
      </c>
      <c r="L24" s="10" t="inlineStr">
        <is>
          <t>Según escenario</t>
        </is>
      </c>
    </row>
    <row r="26" ht="10" customHeight="1"/>
    <row r="27">
      <c r="B27" s="11" t="inlineStr">
        <is>
          <t>CONTENIDO DEL MODELO</t>
        </is>
      </c>
    </row>
    <row r="28" ht="20" customHeight="1">
      <c r="B28" s="12" t="inlineStr">
        <is>
          <t>1</t>
        </is>
      </c>
      <c r="C28" s="13" t="inlineStr">
        <is>
          <t>SUPUESTOS</t>
        </is>
      </c>
      <c r="F28" s="14" t="inlineStr">
        <is>
          <t>Parámetros base del modelo — todas las variables clave</t>
        </is>
      </c>
    </row>
    <row r="29" ht="20" customHeight="1">
      <c r="B29" s="12" t="inlineStr">
        <is>
          <t>2</t>
        </is>
      </c>
      <c r="C29" s="15" t="inlineStr">
        <is>
          <t>PAQUETES COMERCIALES</t>
        </is>
      </c>
      <c r="F29" s="16" t="inlineStr">
        <is>
          <t>Estructura detallada Paquete Básico y Paquete Premium</t>
        </is>
      </c>
    </row>
    <row r="30" ht="20" customHeight="1">
      <c r="B30" s="12" t="inlineStr">
        <is>
          <t>3</t>
        </is>
      </c>
      <c r="C30" s="13" t="inlineStr">
        <is>
          <t>MERCADO OBJETIVO</t>
        </is>
      </c>
      <c r="F30" s="14" t="inlineStr">
        <is>
          <t>Cuántas empresas necesitamos y de qué tamaño</t>
        </is>
      </c>
    </row>
    <row r="31" ht="20" customHeight="1">
      <c r="B31" s="12" t="inlineStr">
        <is>
          <t>4</t>
        </is>
      </c>
      <c r="C31" s="15" t="inlineStr">
        <is>
          <t>COSTOS DE INVERSIÓN</t>
        </is>
      </c>
      <c r="F31" s="16" t="inlineStr">
        <is>
          <t>Inversión inicial, finca, adecuación y operación</t>
        </is>
      </c>
    </row>
    <row r="32" ht="20" customHeight="1">
      <c r="B32" s="12" t="inlineStr">
        <is>
          <t>5</t>
        </is>
      </c>
      <c r="C32" s="13" t="inlineStr">
        <is>
          <t>ESC A — Recursos Propios</t>
        </is>
      </c>
      <c r="F32" s="14" t="inlineStr">
        <is>
          <t>Flujo de caja con capital 100% propio (5 años)</t>
        </is>
      </c>
    </row>
    <row r="33" ht="20" customHeight="1">
      <c r="B33" s="12" t="inlineStr">
        <is>
          <t>6</t>
        </is>
      </c>
      <c r="C33" s="15" t="inlineStr">
        <is>
          <t>ESC B — Financiación Mixta</t>
        </is>
      </c>
      <c r="F33" s="16" t="inlineStr">
        <is>
          <t>Capital propio + Finagro + iNNpulsa (3 años)</t>
        </is>
      </c>
    </row>
    <row r="34" ht="20" customHeight="1">
      <c r="B34" s="12" t="inlineStr">
        <is>
          <t>7</t>
        </is>
      </c>
      <c r="C34" s="13" t="inlineStr">
        <is>
          <t>ESC C — SAS + Inversión Impacto</t>
        </is>
      </c>
      <c r="F34" s="14" t="inlineStr">
        <is>
          <t>Sociedad + fondo verde + escala nacional</t>
        </is>
      </c>
    </row>
    <row r="35" ht="20" customHeight="1">
      <c r="B35" s="12" t="inlineStr">
        <is>
          <t>8</t>
        </is>
      </c>
      <c r="C35" s="15" t="inlineStr">
        <is>
          <t>VALORACIÓN &amp; MÉTRICAS</t>
        </is>
      </c>
      <c r="F35" s="16" t="inlineStr">
        <is>
          <t>TIR, VPN, Payback, múltiplos de salida</t>
        </is>
      </c>
    </row>
    <row r="36" ht="20" customHeight="1">
      <c r="B36" s="12" t="inlineStr">
        <is>
          <t>9</t>
        </is>
      </c>
      <c r="C36" s="13" t="inlineStr">
        <is>
          <t>DASHBOARD</t>
        </is>
      </c>
      <c r="F36" s="14" t="inlineStr">
        <is>
          <t>Resumen visual para presentación a inversionistas</t>
        </is>
      </c>
    </row>
    <row r="39" ht="20" customHeight="1">
      <c r="A39" s="17" t="inlineStr">
        <is>
          <t>Confidencial — Uso exclusivo para presentación a inversionistas  |  Marulanda, Caldas, Colombia  |  Abril 2026</t>
        </is>
      </c>
    </row>
    <row r="40"/>
  </sheetData>
  <mergeCells count="46">
    <mergeCell ref="F20:H20"/>
    <mergeCell ref="L24:N24"/>
    <mergeCell ref="B30"/>
    <mergeCell ref="A4:N10"/>
    <mergeCell ref="C31:E31"/>
    <mergeCell ref="F33:N33"/>
    <mergeCell ref="B33"/>
    <mergeCell ref="F36:N36"/>
    <mergeCell ref="F32:N32"/>
    <mergeCell ref="F21:H23"/>
    <mergeCell ref="A15:N17"/>
    <mergeCell ref="B24:E24"/>
    <mergeCell ref="B20:E20"/>
    <mergeCell ref="F35:N35"/>
    <mergeCell ref="B36"/>
    <mergeCell ref="L20:N20"/>
    <mergeCell ref="I21:K23"/>
    <mergeCell ref="B32"/>
    <mergeCell ref="B35"/>
    <mergeCell ref="A1:N3"/>
    <mergeCell ref="I24:K24"/>
    <mergeCell ref="C36:E36"/>
    <mergeCell ref="F31:N31"/>
    <mergeCell ref="F28:N28"/>
    <mergeCell ref="I20:K20"/>
    <mergeCell ref="B31"/>
    <mergeCell ref="C32:E32"/>
    <mergeCell ref="A18:N18"/>
    <mergeCell ref="C28:E28"/>
    <mergeCell ref="B27:N27"/>
    <mergeCell ref="A39:N40"/>
    <mergeCell ref="B21:E23"/>
    <mergeCell ref="L21:N23"/>
    <mergeCell ref="C30:E30"/>
    <mergeCell ref="C34:E34"/>
    <mergeCell ref="F29:N29"/>
    <mergeCell ref="C33:E33"/>
    <mergeCell ref="F34:N34"/>
    <mergeCell ref="B29"/>
    <mergeCell ref="A11:N14"/>
    <mergeCell ref="B34"/>
    <mergeCell ref="B28"/>
    <mergeCell ref="C29:E29"/>
    <mergeCell ref="C35:E35"/>
    <mergeCell ref="F24:H24"/>
    <mergeCell ref="F30:N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22" customWidth="1" min="4" max="4"/>
    <col width="35" customWidth="1" min="5" max="5"/>
  </cols>
  <sheetData>
    <row r="1" ht="40" customHeight="1">
      <c r="A1" s="18" t="inlineStr">
        <is>
          <t>SUPUESTOS Y PARÁMETROS BASE DEL MODELO</t>
        </is>
      </c>
    </row>
    <row r="2" ht="18" customHeight="1">
      <c r="A2" s="19" t="inlineStr">
        <is>
          <t>Celdas en AZUL = entradas del usuario  |  Celdas en NEGRO = calculadas  |  Modificar solo celdas azules</t>
        </is>
      </c>
    </row>
    <row r="3" ht="26" customHeight="1">
      <c r="B3" s="20" t="inlineStr">
        <is>
          <t>PARÁMETRO</t>
        </is>
      </c>
      <c r="C3" s="20" t="inlineStr">
        <is>
          <t>VALOR</t>
        </is>
      </c>
      <c r="D3" s="20" t="inlineStr">
        <is>
          <t>UNIDAD</t>
        </is>
      </c>
      <c r="E3" s="20" t="inlineStr">
        <is>
          <t>FUENTE / NOTA</t>
        </is>
      </c>
    </row>
    <row r="4" ht="22" customHeight="1">
      <c r="B4" s="21" t="inlineStr">
        <is>
          <t xml:space="preserve">  🌿  DATOS DE LA FINCA</t>
        </is>
      </c>
    </row>
    <row r="5" ht="20" customHeight="1">
      <c r="B5" s="16" t="inlineStr">
        <is>
          <t>Hectáreas totales finca</t>
        </is>
      </c>
      <c r="C5" s="22" t="n">
        <v>130</v>
      </c>
      <c r="D5" s="23" t="inlineStr">
        <is>
          <t>ha</t>
        </is>
      </c>
      <c r="E5" s="24" t="inlineStr">
        <is>
          <t>Escritura / matrícula Marulanda, Caldas</t>
        </is>
      </c>
    </row>
    <row r="6" ht="20" customHeight="1">
      <c r="B6" s="14" t="inlineStr">
        <is>
          <t>Hectáreas destinadas al proyecto</t>
        </is>
      </c>
      <c r="C6" s="25" t="n">
        <v>60</v>
      </c>
      <c r="D6" s="26" t="inlineStr">
        <is>
          <t>ha</t>
        </is>
      </c>
      <c r="E6" s="27" t="inlineStr">
        <is>
          <t>Área productiva para Ley 2173</t>
        </is>
      </c>
    </row>
    <row r="7" ht="20" customHeight="1">
      <c r="B7" s="16" t="inlineStr">
        <is>
          <t>Densidad de siembra (marco 3×3)</t>
        </is>
      </c>
      <c r="C7" s="22" t="n">
        <v>1100</v>
      </c>
      <c r="D7" s="23" t="inlineStr">
        <is>
          <t>árboles/ha</t>
        </is>
      </c>
      <c r="E7" s="24" t="inlineStr">
        <is>
          <t>CAR Colombia – Guía técnica forestal; 10.000m²÷9m²</t>
        </is>
      </c>
    </row>
    <row r="8" ht="20" customHeight="1">
      <c r="B8" s="14" t="inlineStr">
        <is>
          <t>Capacidad total del proyecto</t>
        </is>
      </c>
      <c r="C8" s="28" t="n">
        <v>66000</v>
      </c>
      <c r="D8" s="26" t="inlineStr">
        <is>
          <t>árboles</t>
        </is>
      </c>
      <c r="E8" s="27">
        <f>60 ha × 1.100 árb/ha</f>
        <v/>
      </c>
    </row>
    <row r="9" ht="20" customHeight="1">
      <c r="B9" s="16" t="inlineStr">
        <is>
          <t>Altitud finca</t>
        </is>
      </c>
      <c r="C9" s="22" t="n">
        <v>2820</v>
      </c>
      <c r="D9" s="23" t="inlineStr">
        <is>
          <t>msnm</t>
        </is>
      </c>
      <c r="E9" s="24" t="inlineStr">
        <is>
          <t>Coordenadas 5°05'49.9"N / 75°20'40.0"W — Google Maps</t>
        </is>
      </c>
    </row>
    <row r="10" ht="20" customHeight="1">
      <c r="B10" s="16" t="inlineStr">
        <is>
          <t>Temperatura promedio</t>
        </is>
      </c>
      <c r="C10" s="29" t="n">
        <v>14</v>
      </c>
      <c r="D10" s="23" t="inlineStr">
        <is>
          <t>°C</t>
        </is>
      </c>
      <c r="E10" s="24" t="inlineStr">
        <is>
          <t>Gobernación de Caldas – Ficha Marulanda</t>
        </is>
      </c>
    </row>
    <row r="12" ht="22" customHeight="1">
      <c r="B12" s="21" t="inlineStr">
        <is>
          <t xml:space="preserve">  🏡  ADQUISICIÓN DE LA FINCA</t>
        </is>
      </c>
    </row>
    <row r="13" ht="20" customHeight="1">
      <c r="B13" s="16" t="inlineStr">
        <is>
          <t>Precio/ha estimado zona páramo Marulanda</t>
        </is>
      </c>
      <c r="C13" s="22" t="n">
        <v>5000000</v>
      </c>
      <c r="D13" s="23" t="inlineStr">
        <is>
          <t>COP/ha</t>
        </is>
      </c>
      <c r="E13" s="24" t="inlineStr">
        <is>
          <t>Referencia mercado fincas Caldas 2025 — Fincaraiz</t>
        </is>
      </c>
    </row>
    <row r="14" ht="20" customHeight="1">
      <c r="B14" s="14" t="inlineStr">
        <is>
          <t>Valor total finca (oferta inicial)</t>
        </is>
      </c>
      <c r="C14" s="28" t="n">
        <v>520000000</v>
      </c>
      <c r="D14" s="26" t="inlineStr">
        <is>
          <t>COP</t>
        </is>
      </c>
      <c r="E14" s="27">
        <f>130 ha × $4M  (oferta conservadora)</f>
        <v/>
      </c>
    </row>
    <row r="15" ht="20" customHeight="1">
      <c r="B15" s="16" t="inlineStr">
        <is>
          <t>Techo negociador finca</t>
        </is>
      </c>
      <c r="C15" s="22" t="n">
        <v>650000000</v>
      </c>
      <c r="D15" s="23" t="inlineStr">
        <is>
          <t>COP</t>
        </is>
      </c>
      <c r="E15" s="24">
        <f>130 ha × $5M (máximo recomendado)</f>
        <v/>
      </c>
    </row>
    <row r="16" ht="20" customHeight="1">
      <c r="B16" s="14" t="inlineStr">
        <is>
          <t>Costos notariales y registro</t>
        </is>
      </c>
      <c r="C16" s="28" t="n">
        <v>12000000</v>
      </c>
      <c r="D16" s="26" t="inlineStr">
        <is>
          <t>COP</t>
        </is>
      </c>
      <c r="E16" s="27" t="inlineStr">
        <is>
          <t>Aprox. 2% del valor escritura</t>
        </is>
      </c>
    </row>
    <row r="18" ht="22" customHeight="1">
      <c r="B18" s="30" t="inlineStr">
        <is>
          <t xml:space="preserve">  🌱  PAQUETE BÁSICO — Solo siembra y certificación</t>
        </is>
      </c>
    </row>
    <row r="19" ht="20" customHeight="1">
      <c r="B19" s="16" t="inlineStr">
        <is>
          <t>Costo plántula nativa ICA certificada</t>
        </is>
      </c>
      <c r="C19" s="22" t="n">
        <v>7000</v>
      </c>
      <c r="D19" s="23" t="inlineStr">
        <is>
          <t>COP/árbol</t>
        </is>
      </c>
      <c r="E19" s="24" t="inlineStr">
        <is>
          <t>Referencia viveros certificados Caldas 2025</t>
        </is>
      </c>
    </row>
    <row r="20" ht="20" customHeight="1">
      <c r="B20" s="14" t="inlineStr">
        <is>
          <t>Costo transporte a finca</t>
        </is>
      </c>
      <c r="C20" s="28" t="n">
        <v>2000</v>
      </c>
      <c r="D20" s="26" t="inlineStr">
        <is>
          <t>COP/árbol</t>
        </is>
      </c>
      <c r="E20" s="27" t="inlineStr">
        <is>
          <t>Estimado logística zona rural Marulanda</t>
        </is>
      </c>
    </row>
    <row r="21" ht="20" customHeight="1">
      <c r="B21" s="16" t="inlineStr">
        <is>
          <t>Costo mano de obra siembra</t>
        </is>
      </c>
      <c r="C21" s="22" t="n">
        <v>8000</v>
      </c>
      <c r="D21" s="23" t="inlineStr">
        <is>
          <t>COP/árbol</t>
        </is>
      </c>
      <c r="E21" s="24" t="inlineStr">
        <is>
          <t>Jornal promedio zona + fertilización + hoyo</t>
        </is>
      </c>
    </row>
    <row r="22" ht="20" customHeight="1">
      <c r="B22" s="14" t="inlineStr">
        <is>
          <t>Mantenimiento año 1</t>
        </is>
      </c>
      <c r="C22" s="28" t="n">
        <v>12000</v>
      </c>
      <c r="D22" s="26" t="inlineStr">
        <is>
          <t>COP/árbol</t>
        </is>
      </c>
      <c r="E22" s="27" t="inlineStr">
        <is>
          <t>Revisión, reposición 10%, abono, limpieza</t>
        </is>
      </c>
    </row>
    <row r="23" ht="20" customHeight="1">
      <c r="B23" s="16" t="inlineStr">
        <is>
          <t>Mantenimiento año 2</t>
        </is>
      </c>
      <c r="C23" s="22" t="n">
        <v>8000</v>
      </c>
      <c r="D23" s="23" t="inlineStr">
        <is>
          <t>COP/árbol</t>
        </is>
      </c>
      <c r="E23" s="24" t="inlineStr">
        <is>
          <t>Monitoreo, abono, podas formativas</t>
        </is>
      </c>
    </row>
    <row r="24" ht="20" customHeight="1">
      <c r="B24" s="14" t="inlineStr">
        <is>
          <t>Plan manejo + registro MADS</t>
        </is>
      </c>
      <c r="C24" s="28" t="n">
        <v>4000</v>
      </c>
      <c r="D24" s="26" t="inlineStr">
        <is>
          <t>COP/árbol</t>
        </is>
      </c>
      <c r="E24" s="27" t="inlineStr">
        <is>
          <t>Prorrateado sobre capacidad total</t>
        </is>
      </c>
    </row>
    <row r="25" ht="20" customHeight="1">
      <c r="B25" s="16" t="inlineStr">
        <is>
          <t>Certificado 'Siembra Vida Empresarial'</t>
        </is>
      </c>
      <c r="C25" s="22" t="n">
        <v>3000</v>
      </c>
      <c r="D25" s="23" t="inlineStr">
        <is>
          <t>COP/árbol</t>
        </is>
      </c>
      <c r="E25" s="24" t="inlineStr">
        <is>
          <t>Trámite Secretaría de Planeación municipal</t>
        </is>
      </c>
    </row>
    <row r="26" ht="20" customHeight="1">
      <c r="B26" s="14" t="inlineStr">
        <is>
          <t>Gestión comercial + administración</t>
        </is>
      </c>
      <c r="C26" s="28" t="n">
        <v>5000</v>
      </c>
      <c r="D26" s="26" t="inlineStr">
        <is>
          <t>COP/árbol</t>
        </is>
      </c>
      <c r="E26" s="27" t="inlineStr">
        <is>
          <t>5% overhead operativo</t>
        </is>
      </c>
    </row>
    <row r="27" ht="20" customHeight="1">
      <c r="B27" s="31" t="inlineStr">
        <is>
          <t>COSTO TOTAL BÁSICO POR ÁRBOL</t>
        </is>
      </c>
      <c r="C27" s="32" t="n">
        <v>49000</v>
      </c>
      <c r="D27" s="33" t="inlineStr">
        <is>
          <t>COP/árbol</t>
        </is>
      </c>
      <c r="E27" s="34" t="inlineStr">
        <is>
          <t>Suma de todos los rubros anteriores</t>
        </is>
      </c>
    </row>
    <row r="28" ht="20" customHeight="1">
      <c r="B28" s="16" t="inlineStr">
        <is>
          <t>PRECIO DE VENTA BÁSICO</t>
        </is>
      </c>
      <c r="C28" s="22" t="n">
        <v>130000</v>
      </c>
      <c r="D28" s="23" t="inlineStr">
        <is>
          <t>COP/árbol</t>
        </is>
      </c>
      <c r="E28" s="24" t="inlineStr">
        <is>
          <t>Precio al cliente — paquete básico</t>
        </is>
      </c>
    </row>
    <row r="29" ht="20" customHeight="1">
      <c r="B29" s="14" t="inlineStr">
        <is>
          <t>Margen bruto básico</t>
        </is>
      </c>
      <c r="C29" s="25" t="n">
        <v>0.623</v>
      </c>
      <c r="D29" s="26" t="inlineStr">
        <is>
          <t>%</t>
        </is>
      </c>
      <c r="E29" s="27">
        <f>(130.000 - 49.000) / 130.000</f>
        <v/>
      </c>
    </row>
    <row r="31" ht="22" customHeight="1">
      <c r="B31" s="35" t="inlineStr">
        <is>
          <t xml:space="preserve">  ⭐  PAQUETE PREMIUM — Experiencia empresarial completa</t>
        </is>
      </c>
    </row>
    <row r="32" ht="20" customHeight="1">
      <c r="B32" s="36" t="inlineStr">
        <is>
          <t>Costo base (igual al básico)</t>
        </is>
      </c>
      <c r="C32" s="37" t="n">
        <v>49000</v>
      </c>
      <c r="D32" s="38" t="inlineStr">
        <is>
          <t>COP/árbol</t>
        </is>
      </c>
      <c r="E32" s="39" t="inlineStr">
        <is>
          <t>Misma base operativa</t>
        </is>
      </c>
    </row>
    <row r="33" ht="20" customHeight="1">
      <c r="B33" s="36" t="inlineStr">
        <is>
          <t>Día de siembra empresarial (empleados)</t>
        </is>
      </c>
      <c r="C33" s="37" t="n">
        <v>25000</v>
      </c>
      <c r="D33" s="38" t="inlineStr">
        <is>
          <t>COP/árbol</t>
        </is>
      </c>
      <c r="E33" s="39" t="inlineStr">
        <is>
          <t>Transporte, guías, refrigerios, logística visita</t>
        </is>
      </c>
    </row>
    <row r="34" ht="20" customHeight="1">
      <c r="B34" s="36" t="inlineStr">
        <is>
          <t>Árbol personalizado por empleado (QR+app)</t>
        </is>
      </c>
      <c r="C34" s="37" t="n">
        <v>8000</v>
      </c>
      <c r="D34" s="38" t="inlineStr">
        <is>
          <t>COP/árbol</t>
        </is>
      </c>
      <c r="E34" s="39" t="inlineStr">
        <is>
          <t>Placa QR, código seguimiento digital</t>
        </is>
      </c>
    </row>
    <row r="35" ht="20" customHeight="1">
      <c r="B35" s="36" t="inlineStr">
        <is>
          <t>Informe de carbono (estimado tCO₂)</t>
        </is>
      </c>
      <c r="C35" s="37" t="n">
        <v>6000</v>
      </c>
      <c r="D35" s="38" t="inlineStr">
        <is>
          <t>COP/árbol</t>
        </is>
      </c>
      <c r="E35" s="39" t="inlineStr">
        <is>
          <t>Cálculo estimado captura CO₂ por árbol</t>
        </is>
      </c>
    </row>
    <row r="36" ht="20" customHeight="1">
      <c r="B36" s="36" t="inlineStr">
        <is>
          <t>Kit experiencial empresa (cert. enmarcado)</t>
        </is>
      </c>
      <c r="C36" s="37" t="n">
        <v>5000</v>
      </c>
      <c r="D36" s="38" t="inlineStr">
        <is>
          <t>COP/árbol</t>
        </is>
      </c>
      <c r="E36" s="39" t="inlineStr">
        <is>
          <t>Certificado premium + foto árbol + reporte RSE</t>
        </is>
      </c>
    </row>
    <row r="37" ht="20" customHeight="1">
      <c r="B37" s="36" t="inlineStr">
        <is>
          <t>Seguimiento fotográfico 2 años</t>
        </is>
      </c>
      <c r="C37" s="37" t="n">
        <v>4000</v>
      </c>
      <c r="D37" s="38" t="inlineStr">
        <is>
          <t>COP/árbol</t>
        </is>
      </c>
      <c r="E37" s="39" t="inlineStr">
        <is>
          <t>Registro visual para reporte anual empresa</t>
        </is>
      </c>
    </row>
    <row r="38" ht="20" customHeight="1">
      <c r="B38" s="31" t="inlineStr">
        <is>
          <t>COSTO TOTAL PREMIUM POR ÁRBOL</t>
        </is>
      </c>
      <c r="C38" s="32" t="n">
        <v>97000</v>
      </c>
      <c r="D38" s="33" t="inlineStr">
        <is>
          <t>COP/árbol</t>
        </is>
      </c>
      <c r="E38" s="34" t="inlineStr">
        <is>
          <t>Suma de todos los rubros premium</t>
        </is>
      </c>
    </row>
    <row r="39" ht="20" customHeight="1">
      <c r="B39" s="16" t="inlineStr">
        <is>
          <t>PRECIO DE VENTA PREMIUM</t>
        </is>
      </c>
      <c r="C39" s="22" t="n">
        <v>250000</v>
      </c>
      <c r="D39" s="23" t="inlineStr">
        <is>
          <t>COP/árbol</t>
        </is>
      </c>
      <c r="E39" s="24" t="inlineStr">
        <is>
          <t>Precio al cliente — paquete premium</t>
        </is>
      </c>
    </row>
    <row r="40" ht="20" customHeight="1">
      <c r="B40" s="36" t="inlineStr">
        <is>
          <t>Margen bruto premium</t>
        </is>
      </c>
      <c r="C40" s="40" t="n">
        <v>0.612</v>
      </c>
      <c r="D40" s="38" t="inlineStr">
        <is>
          <t>%</t>
        </is>
      </c>
      <c r="E40" s="39">
        <f>(250.000 - 97.000) / 250.000</f>
        <v/>
      </c>
    </row>
    <row r="42" ht="22" customHeight="1">
      <c r="B42" s="21" t="inlineStr">
        <is>
          <t xml:space="preserve">  ⚙️  SUPUESTOS OPERATIVOS</t>
        </is>
      </c>
    </row>
    <row r="43" ht="20" customHeight="1">
      <c r="B43" s="16" t="inlineStr">
        <is>
          <t>% ventas paquete básico (año 1-2)</t>
        </is>
      </c>
      <c r="C43" s="29" t="n">
        <v>0.7</v>
      </c>
      <c r="D43" s="23" t="inlineStr">
        <is>
          <t>%</t>
        </is>
      </c>
      <c r="E43" s="24" t="inlineStr">
        <is>
          <t>Estimado: mayoría empresas inician con básico</t>
        </is>
      </c>
    </row>
    <row r="44" ht="20" customHeight="1">
      <c r="B44" s="14" t="inlineStr">
        <is>
          <t>% ventas paquete premium (año 1-2)</t>
        </is>
      </c>
      <c r="C44" s="25" t="n">
        <v>0.3</v>
      </c>
      <c r="D44" s="26" t="inlineStr">
        <is>
          <t>%</t>
        </is>
      </c>
      <c r="E44" s="27" t="inlineStr">
        <is>
          <t>Empresas grandes / Bogotá / multinacionales</t>
        </is>
      </c>
    </row>
    <row r="45" ht="20" customHeight="1">
      <c r="B45" s="16" t="inlineStr">
        <is>
          <t>% ventas básico (año 3+)</t>
        </is>
      </c>
      <c r="C45" s="29" t="n">
        <v>0.5</v>
      </c>
      <c r="D45" s="23" t="inlineStr">
        <is>
          <t>%</t>
        </is>
      </c>
      <c r="E45" s="24" t="inlineStr">
        <is>
          <t>Mix se equilibra a medida que el producto madura</t>
        </is>
      </c>
    </row>
    <row r="46" ht="20" customHeight="1">
      <c r="B46" s="14" t="inlineStr">
        <is>
          <t>% ventas premium (año 3+)</t>
        </is>
      </c>
      <c r="C46" s="25" t="n">
        <v>0.5</v>
      </c>
      <c r="D46" s="26" t="inlineStr">
        <is>
          <t>%</t>
        </is>
      </c>
      <c r="E46" s="27" t="inlineStr">
        <is>
          <t>Mayor penetración mercado corporativo</t>
        </is>
      </c>
    </row>
    <row r="47" ht="20" customHeight="1">
      <c r="B47" s="16" t="inlineStr">
        <is>
          <t>Tasa de recompra anual (recurrencia)</t>
        </is>
      </c>
      <c r="C47" s="29" t="n">
        <v>0.85</v>
      </c>
      <c r="D47" s="23" t="inlineStr">
        <is>
          <t>%</t>
        </is>
      </c>
      <c r="E47" s="24" t="inlineStr">
        <is>
          <t>Ley obliga siembra anual → alta fidelización</t>
        </is>
      </c>
    </row>
    <row r="48" ht="20" customHeight="1">
      <c r="B48" s="14" t="inlineStr">
        <is>
          <t>Árboles fase 1 (año 1)</t>
        </is>
      </c>
      <c r="C48" s="28" t="n">
        <v>15000</v>
      </c>
      <c r="D48" s="26" t="inlineStr">
        <is>
          <t>árboles</t>
        </is>
      </c>
      <c r="E48" s="27" t="inlineStr">
        <is>
          <t>Siembra inicial — 13,6 ha</t>
        </is>
      </c>
    </row>
    <row r="49" ht="20" customHeight="1">
      <c r="B49" s="16" t="inlineStr">
        <is>
          <t>Árboles fase 2 (año 2)</t>
        </is>
      </c>
      <c r="C49" s="22" t="n">
        <v>25000</v>
      </c>
      <c r="D49" s="23" t="inlineStr">
        <is>
          <t>árboles</t>
        </is>
      </c>
      <c r="E49" s="24" t="inlineStr">
        <is>
          <t>Expansión — 22,7 ha adicionales</t>
        </is>
      </c>
    </row>
    <row r="50" ht="20" customHeight="1">
      <c r="B50" s="14" t="inlineStr">
        <is>
          <t>Árboles fase 3 (año 3)</t>
        </is>
      </c>
      <c r="C50" s="28" t="n">
        <v>26000</v>
      </c>
      <c r="D50" s="26" t="inlineStr">
        <is>
          <t>árboles</t>
        </is>
      </c>
      <c r="E50" s="27" t="inlineStr">
        <is>
          <t>Completar 60 ha — 23,6 ha finales</t>
        </is>
      </c>
    </row>
    <row r="51" ht="20" customHeight="1">
      <c r="B51" s="16" t="inlineStr">
        <is>
          <t>Tasa de descuento (WACC)</t>
        </is>
      </c>
      <c r="C51" s="29" t="n">
        <v>0.12</v>
      </c>
      <c r="D51" s="23" t="inlineStr">
        <is>
          <t>%</t>
        </is>
      </c>
      <c r="E51" s="24" t="inlineStr">
        <is>
          <t>Referencia proyectos ambientales Colombia</t>
        </is>
      </c>
    </row>
  </sheetData>
  <mergeCells count="7">
    <mergeCell ref="B31:E31"/>
    <mergeCell ref="B18:E18"/>
    <mergeCell ref="B4:E4"/>
    <mergeCell ref="A2:E2"/>
    <mergeCell ref="B12:E12"/>
    <mergeCell ref="A1:E1"/>
    <mergeCell ref="B42:E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0916C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18" t="inlineStr">
        <is>
          <t>ESTRUCTURA DE PAQUETES COMERCIALES — BOSQUES MARULANDA</t>
        </is>
      </c>
    </row>
    <row r="3" ht="28" customHeight="1">
      <c r="B3" s="41" t="inlineStr">
        <is>
          <t>COMPONENTE DEL SERVICIO</t>
        </is>
      </c>
      <c r="D3" s="42" t="inlineStr">
        <is>
          <t>🌱 BÁSICO</t>
        </is>
      </c>
      <c r="E3" s="43" t="inlineStr">
        <is>
          <t>⭐ PREMIUM</t>
        </is>
      </c>
    </row>
    <row r="4" ht="20" customHeight="1">
      <c r="B4" s="14" t="inlineStr">
        <is>
          <t>Plántula nativa ICA certificada</t>
        </is>
      </c>
      <c r="D4" s="44" t="inlineStr">
        <is>
          <t>✅ Incluido</t>
        </is>
      </c>
      <c r="E4" s="45" t="inlineStr">
        <is>
          <t>✅ Incluido</t>
        </is>
      </c>
    </row>
    <row r="5" ht="20" customHeight="1">
      <c r="B5" s="16" t="inlineStr">
        <is>
          <t>Transporte de plantas a la finca</t>
        </is>
      </c>
      <c r="D5" s="46" t="inlineStr">
        <is>
          <t>✅ Incluido</t>
        </is>
      </c>
      <c r="E5" s="45" t="inlineStr">
        <is>
          <t>✅ Incluido</t>
        </is>
      </c>
    </row>
    <row r="6" ht="20" customHeight="1">
      <c r="B6" s="14" t="inlineStr">
        <is>
          <t>Siembra profesional en campo</t>
        </is>
      </c>
      <c r="D6" s="44" t="inlineStr">
        <is>
          <t>✅ Incluido</t>
        </is>
      </c>
      <c r="E6" s="45" t="inlineStr">
        <is>
          <t>✅ Incluido</t>
        </is>
      </c>
    </row>
    <row r="7" ht="20" customHeight="1">
      <c r="B7" s="16" t="inlineStr">
        <is>
          <t>Georreferenciación del árbol</t>
        </is>
      </c>
      <c r="D7" s="46" t="inlineStr">
        <is>
          <t>✅ Incluido</t>
        </is>
      </c>
      <c r="E7" s="45" t="inlineStr">
        <is>
          <t>✅ Incluido</t>
        </is>
      </c>
    </row>
    <row r="8" ht="20" customHeight="1">
      <c r="B8" s="14" t="inlineStr">
        <is>
          <t>Mantenimiento año 1 (abono, reposición)</t>
        </is>
      </c>
      <c r="D8" s="44" t="inlineStr">
        <is>
          <t>✅ Incluido</t>
        </is>
      </c>
      <c r="E8" s="45" t="inlineStr">
        <is>
          <t>✅ Incluido</t>
        </is>
      </c>
    </row>
    <row r="9" ht="20" customHeight="1">
      <c r="B9" s="16" t="inlineStr">
        <is>
          <t>Mantenimiento año 2 (monitoreo, poda)</t>
        </is>
      </c>
      <c r="D9" s="46" t="inlineStr">
        <is>
          <t>✅ Incluido</t>
        </is>
      </c>
      <c r="E9" s="45" t="inlineStr">
        <is>
          <t>✅ Incluido</t>
        </is>
      </c>
    </row>
    <row r="10" ht="20" customHeight="1">
      <c r="B10" s="14" t="inlineStr">
        <is>
          <t>Plan de manejo ambiental</t>
        </is>
      </c>
      <c r="D10" s="44" t="inlineStr">
        <is>
          <t>✅ Incluido</t>
        </is>
      </c>
      <c r="E10" s="45" t="inlineStr">
        <is>
          <t>✅ Incluido</t>
        </is>
      </c>
    </row>
    <row r="11" ht="20" customHeight="1">
      <c r="B11" s="16" t="inlineStr">
        <is>
          <t>Registro plataforma MADS</t>
        </is>
      </c>
      <c r="D11" s="46" t="inlineStr">
        <is>
          <t>✅ Incluido</t>
        </is>
      </c>
      <c r="E11" s="45" t="inlineStr">
        <is>
          <t>✅ Incluido</t>
        </is>
      </c>
    </row>
    <row r="12" ht="20" customHeight="1">
      <c r="B12" s="14" t="inlineStr">
        <is>
          <t>Certificado 'Siembra Vida Empresarial'</t>
        </is>
      </c>
      <c r="D12" s="44" t="inlineStr">
        <is>
          <t>✅ Incluido</t>
        </is>
      </c>
      <c r="E12" s="45" t="inlineStr">
        <is>
          <t>✅ Incluido</t>
        </is>
      </c>
    </row>
    <row r="13" ht="20" customHeight="1">
      <c r="B13" s="16" t="inlineStr">
        <is>
          <t>Informe básico de cumplimiento Ley 2173</t>
        </is>
      </c>
      <c r="D13" s="46" t="inlineStr">
        <is>
          <t>✅ Incluido</t>
        </is>
      </c>
      <c r="E13" s="45" t="inlineStr">
        <is>
          <t>✅ Incluido</t>
        </is>
      </c>
    </row>
    <row r="14" ht="20" customHeight="1">
      <c r="B14" s="47" t="inlineStr">
        <is>
          <t>─── DIFERENCIALES PREMIUM ───</t>
        </is>
      </c>
      <c r="D14" s="48" t="inlineStr"/>
      <c r="E14" s="48" t="inlineStr"/>
    </row>
    <row r="15" ht="20" customHeight="1">
      <c r="B15" s="16" t="inlineStr">
        <is>
          <t>Jornada presencial empleados en finca</t>
        </is>
      </c>
      <c r="D15" s="49" t="inlineStr">
        <is>
          <t>❌ No incluido</t>
        </is>
      </c>
      <c r="E15" s="45" t="inlineStr">
        <is>
          <t>✅ Incluido</t>
        </is>
      </c>
    </row>
    <row r="16" ht="20" customHeight="1">
      <c r="B16" s="14" t="inlineStr">
        <is>
          <t>Código QR personalizado por árbol/empleado</t>
        </is>
      </c>
      <c r="D16" s="50" t="inlineStr">
        <is>
          <t>❌ No incluido</t>
        </is>
      </c>
      <c r="E16" s="45" t="inlineStr">
        <is>
          <t>✅ Incluido</t>
        </is>
      </c>
    </row>
    <row r="17" ht="20" customHeight="1">
      <c r="B17" s="16" t="inlineStr">
        <is>
          <t>App de seguimiento árbol del empleado</t>
        </is>
      </c>
      <c r="D17" s="49" t="inlineStr">
        <is>
          <t>❌ No incluido</t>
        </is>
      </c>
      <c r="E17" s="45" t="inlineStr">
        <is>
          <t>✅ Incluido</t>
        </is>
      </c>
    </row>
    <row r="18" ht="20" customHeight="1">
      <c r="B18" s="14" t="inlineStr">
        <is>
          <t>Estimado de captura CO₂ certificado</t>
        </is>
      </c>
      <c r="D18" s="50" t="inlineStr">
        <is>
          <t>❌ No incluido</t>
        </is>
      </c>
      <c r="E18" s="45" t="inlineStr">
        <is>
          <t>✅ Incluido</t>
        </is>
      </c>
    </row>
    <row r="19" ht="20" customHeight="1">
      <c r="B19" s="16" t="inlineStr">
        <is>
          <t>Certificado premium enmarcado por empleado</t>
        </is>
      </c>
      <c r="D19" s="49" t="inlineStr">
        <is>
          <t>❌ No incluido</t>
        </is>
      </c>
      <c r="E19" s="45" t="inlineStr">
        <is>
          <t>✅ Incluido</t>
        </is>
      </c>
    </row>
    <row r="20" ht="20" customHeight="1">
      <c r="B20" s="14" t="inlineStr">
        <is>
          <t>Seguimiento fotográfico 2 años</t>
        </is>
      </c>
      <c r="D20" s="50" t="inlineStr">
        <is>
          <t>❌ No incluido</t>
        </is>
      </c>
      <c r="E20" s="45" t="inlineStr">
        <is>
          <t>✅ Incluido</t>
        </is>
      </c>
    </row>
    <row r="21" ht="20" customHeight="1">
      <c r="B21" s="16" t="inlineStr">
        <is>
          <t>Informe RSE completo para stakeholders</t>
        </is>
      </c>
      <c r="D21" s="49" t="inlineStr">
        <is>
          <t>❌ No incluido</t>
        </is>
      </c>
      <c r="E21" s="45" t="inlineStr">
        <is>
          <t>✅ Incluido</t>
        </is>
      </c>
    </row>
    <row r="22" ht="20" customHeight="1">
      <c r="B22" s="14" t="inlineStr">
        <is>
          <t>Sello 'Empresa Amiga del Bosque Marulanda'</t>
        </is>
      </c>
      <c r="D22" s="50" t="inlineStr">
        <is>
          <t>❌ No incluido</t>
        </is>
      </c>
      <c r="E22" s="45" t="inlineStr">
        <is>
          <t>✅ Incluido</t>
        </is>
      </c>
    </row>
    <row r="23" ht="20" customHeight="1">
      <c r="B23" s="16" t="inlineStr">
        <is>
          <t>Visita ecoturismo para directivos</t>
        </is>
      </c>
      <c r="D23" s="49" t="inlineStr">
        <is>
          <t>❌ No incluido</t>
        </is>
      </c>
      <c r="E23" s="45" t="inlineStr">
        <is>
          <t>✅ Incluido</t>
        </is>
      </c>
    </row>
    <row r="25" ht="10" customHeight="1"/>
    <row r="26" ht="26" customHeight="1">
      <c r="B26" s="51" t="inlineStr">
        <is>
          <t xml:space="preserve">  💰  RESUMEN DE PRECIOS Y MÁRGENES</t>
        </is>
      </c>
    </row>
    <row r="27" ht="22" customHeight="1">
      <c r="B27" s="20" t="inlineStr">
        <is>
          <t>CONCEPTO</t>
        </is>
      </c>
      <c r="C27" s="20" t="inlineStr">
        <is>
          <t>BÁSICO</t>
        </is>
      </c>
      <c r="D27" s="20" t="inlineStr">
        <is>
          <t>PREMIUM</t>
        </is>
      </c>
      <c r="E27" s="20" t="inlineStr">
        <is>
          <t>DIFERENCIAL</t>
        </is>
      </c>
    </row>
    <row r="28" ht="20" customHeight="1">
      <c r="B28" s="52" t="inlineStr">
        <is>
          <t>Costo total por árbol (COP)</t>
        </is>
      </c>
      <c r="C28" s="53" t="n">
        <v>49000</v>
      </c>
      <c r="D28" s="53" t="n">
        <v>97000</v>
      </c>
      <c r="E28" s="54" t="n">
        <v>48000</v>
      </c>
    </row>
    <row r="29" ht="20" customHeight="1">
      <c r="B29" s="55" t="inlineStr">
        <is>
          <t>Precio de venta por árbol (COP)</t>
        </is>
      </c>
      <c r="C29" s="56" t="n">
        <v>130000</v>
      </c>
      <c r="D29" s="56" t="n">
        <v>250000</v>
      </c>
      <c r="E29" s="54" t="n">
        <v>120000</v>
      </c>
    </row>
    <row r="30" ht="20" customHeight="1">
      <c r="B30" s="52" t="inlineStr">
        <is>
          <t>Margen bruto por árbol (COP)</t>
        </is>
      </c>
      <c r="C30" s="53" t="n">
        <v>81000</v>
      </c>
      <c r="D30" s="53" t="n">
        <v>153000</v>
      </c>
      <c r="E30" s="54" t="n">
        <v>72000</v>
      </c>
    </row>
    <row r="31" ht="20" customHeight="1">
      <c r="B31" s="16" t="inlineStr">
        <is>
          <t>Margen bruto (%)</t>
        </is>
      </c>
      <c r="C31" s="57" t="n">
        <v>0.623</v>
      </c>
      <c r="D31" s="57" t="n">
        <v>0.612</v>
      </c>
      <c r="E31" t="inlineStr"/>
    </row>
    <row r="32" ht="20" customHeight="1">
      <c r="B32" s="14" t="inlineStr">
        <is>
          <t>Costo empresa: 200 empleados (COP)</t>
        </is>
      </c>
      <c r="C32" s="58" t="n">
        <v>52000000</v>
      </c>
      <c r="D32" s="58" t="n">
        <v>100000000</v>
      </c>
      <c r="E32" s="54" t="n">
        <v>48000000</v>
      </c>
    </row>
    <row r="33" ht="20" customHeight="1">
      <c r="B33" s="16" t="inlineStr">
        <is>
          <t>Costo empresa: 500 empleados (COP)</t>
        </is>
      </c>
      <c r="C33" s="59" t="n">
        <v>130000000</v>
      </c>
      <c r="D33" s="59" t="n">
        <v>250000000</v>
      </c>
      <c r="E33" s="54" t="n">
        <v>120000000</v>
      </c>
    </row>
    <row r="34" ht="20" customHeight="1">
      <c r="B34" s="14" t="inlineStr">
        <is>
          <t>Costo empresa: 1.000 empleados (COP)</t>
        </is>
      </c>
      <c r="C34" s="58" t="n">
        <v>260000000</v>
      </c>
      <c r="D34" s="58" t="n">
        <v>500000000</v>
      </c>
      <c r="E34" s="54" t="n">
        <v>240000000</v>
      </c>
    </row>
  </sheetData>
  <mergeCells count="45">
    <mergeCell ref="E12:F12"/>
    <mergeCell ref="B16:C16"/>
    <mergeCell ref="B7:C7"/>
    <mergeCell ref="D3"/>
    <mergeCell ref="B3:C3"/>
    <mergeCell ref="E5:F5"/>
    <mergeCell ref="B22:C22"/>
    <mergeCell ref="E23:F23"/>
    <mergeCell ref="E14:F14"/>
    <mergeCell ref="B18:C18"/>
    <mergeCell ref="E17:F17"/>
    <mergeCell ref="E8:F8"/>
    <mergeCell ref="B12:C12"/>
    <mergeCell ref="E4:F4"/>
    <mergeCell ref="B21:C21"/>
    <mergeCell ref="E20:F20"/>
    <mergeCell ref="B11:C11"/>
    <mergeCell ref="E10:F10"/>
    <mergeCell ref="E19:F19"/>
    <mergeCell ref="B23:C23"/>
    <mergeCell ref="B14:C14"/>
    <mergeCell ref="E13:F13"/>
    <mergeCell ref="B17:C17"/>
    <mergeCell ref="E9:F9"/>
    <mergeCell ref="B8:C8"/>
    <mergeCell ref="B13:C13"/>
    <mergeCell ref="E6:F6"/>
    <mergeCell ref="E15:F15"/>
    <mergeCell ref="B19:C19"/>
    <mergeCell ref="B10:C10"/>
    <mergeCell ref="E11:F11"/>
    <mergeCell ref="B9:C9"/>
    <mergeCell ref="B6:C6"/>
    <mergeCell ref="B15:C15"/>
    <mergeCell ref="E16:F16"/>
    <mergeCell ref="E7:F7"/>
    <mergeCell ref="B5:C5"/>
    <mergeCell ref="A1:F1"/>
    <mergeCell ref="B20:C20"/>
    <mergeCell ref="E22:F22"/>
    <mergeCell ref="E18:F18"/>
    <mergeCell ref="B26:F26"/>
    <mergeCell ref="B4:C4"/>
    <mergeCell ref="E3:F3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2B788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 ht="40" customHeight="1">
      <c r="A1" s="18" t="inlineStr">
        <is>
          <t>ANÁLISIS DE MERCADO OBJETIVO — COLOMBIA</t>
        </is>
      </c>
    </row>
    <row r="2" ht="22" customHeight="1">
      <c r="A2" s="60" t="inlineStr">
        <is>
          <t>Medianas y grandes empresas obligadas por Ley 2173 de 2021 — Resolución 1491 de 2025</t>
        </is>
      </c>
    </row>
    <row r="4" ht="22" customHeight="1">
      <c r="B4" s="21" t="inlineStr">
        <is>
          <t xml:space="preserve">  📊  SEGMENTACIÓN POR TAMAÑO DE EMPRESA</t>
        </is>
      </c>
    </row>
    <row r="5" ht="35" customHeight="1">
      <c r="B5" s="61" t="inlineStr">
        <is>
          <t>SEGMENTO</t>
        </is>
      </c>
      <c r="C5" s="61" t="inlineStr">
        <is>
          <t>EMPLEADOS</t>
        </is>
      </c>
      <c r="D5" s="61" t="inlineStr">
        <is>
          <t>ÁRBOLES/AÑO
(2 x empleado)</t>
        </is>
      </c>
      <c r="E5" s="61" t="inlineStr">
        <is>
          <t>PRECIO
BÁSICO/AÑO</t>
        </is>
      </c>
      <c r="F5" s="61" t="inlineStr">
        <is>
          <t>PRECIO
PREMIUM/AÑO</t>
        </is>
      </c>
      <c r="G5" s="61" t="inlineStr">
        <is>
          <t>META
CLIENTES</t>
        </is>
      </c>
      <c r="H5" s="61" t="inlineStr">
        <is>
          <t>INGRESOS
BÁSICO</t>
        </is>
      </c>
      <c r="I5" s="61" t="inlineStr">
        <is>
          <t>INGRESOS
PREMIUM</t>
        </is>
      </c>
    </row>
    <row r="6" ht="20" customHeight="1">
      <c r="B6" s="14" t="inlineStr">
        <is>
          <t>Mediana pequeña</t>
        </is>
      </c>
      <c r="C6" s="26" t="inlineStr">
        <is>
          <t>50–100</t>
        </is>
      </c>
      <c r="D6" s="28" t="n">
        <v>100</v>
      </c>
      <c r="E6" s="62" t="n">
        <v>13000000</v>
      </c>
      <c r="F6" s="62" t="n">
        <v>25000000</v>
      </c>
      <c r="G6" s="28" t="n">
        <v>20</v>
      </c>
      <c r="H6" s="62" t="n">
        <v>260000000</v>
      </c>
      <c r="I6" s="62" t="n">
        <v>500000000</v>
      </c>
    </row>
    <row r="7" ht="20" customHeight="1">
      <c r="B7" s="16" t="inlineStr">
        <is>
          <t>Mediana media</t>
        </is>
      </c>
      <c r="C7" s="23" t="inlineStr">
        <is>
          <t>100–200</t>
        </is>
      </c>
      <c r="D7" s="22" t="n">
        <v>200</v>
      </c>
      <c r="E7" s="63" t="n">
        <v>26000000</v>
      </c>
      <c r="F7" s="63" t="n">
        <v>50000000</v>
      </c>
      <c r="G7" s="22" t="n">
        <v>15</v>
      </c>
      <c r="H7" s="63" t="n">
        <v>390000000</v>
      </c>
      <c r="I7" s="63" t="n">
        <v>750000000</v>
      </c>
    </row>
    <row r="8" ht="20" customHeight="1">
      <c r="B8" s="14" t="inlineStr">
        <is>
          <t>Mediana grande</t>
        </is>
      </c>
      <c r="C8" s="26" t="inlineStr">
        <is>
          <t>200–400</t>
        </is>
      </c>
      <c r="D8" s="28" t="n">
        <v>400</v>
      </c>
      <c r="E8" s="62" t="n">
        <v>52000000</v>
      </c>
      <c r="F8" s="62" t="n">
        <v>100000000</v>
      </c>
      <c r="G8" s="28" t="n">
        <v>10</v>
      </c>
      <c r="H8" s="62" t="n">
        <v>520000000</v>
      </c>
      <c r="I8" s="62" t="n">
        <v>1000000000</v>
      </c>
    </row>
    <row r="9" ht="20" customHeight="1">
      <c r="B9" s="16" t="inlineStr">
        <is>
          <t>Gran empresa</t>
        </is>
      </c>
      <c r="C9" s="23" t="inlineStr">
        <is>
          <t>500–1000</t>
        </is>
      </c>
      <c r="D9" s="22" t="n">
        <v>1000</v>
      </c>
      <c r="E9" s="63" t="n">
        <v>130000000</v>
      </c>
      <c r="F9" s="63" t="n">
        <v>250000000</v>
      </c>
      <c r="G9" s="22" t="n">
        <v>5</v>
      </c>
      <c r="H9" s="63" t="n">
        <v>650000000</v>
      </c>
      <c r="I9" s="63" t="n">
        <v>1250000000</v>
      </c>
    </row>
    <row r="10" ht="20" customHeight="1">
      <c r="B10" s="14" t="inlineStr">
        <is>
          <t>Multinacional</t>
        </is>
      </c>
      <c r="C10" s="26" t="inlineStr">
        <is>
          <t>2000–4000</t>
        </is>
      </c>
      <c r="D10" s="28" t="n">
        <v>4000</v>
      </c>
      <c r="E10" s="62" t="n">
        <v>520000000</v>
      </c>
      <c r="F10" s="62" t="n">
        <v>1000000000</v>
      </c>
      <c r="G10" s="28" t="n">
        <v>2</v>
      </c>
      <c r="H10" s="62" t="n">
        <v>1040000000</v>
      </c>
      <c r="I10" s="62" t="n">
        <v>2000000000</v>
      </c>
    </row>
    <row r="11" ht="24" customHeight="1">
      <c r="B11" s="64" t="inlineStr">
        <is>
          <t>TOTAL POTENCIAL (escenario meta)</t>
        </is>
      </c>
      <c r="C11" s="65" t="n"/>
      <c r="D11" s="65" t="n"/>
      <c r="E11" s="65" t="n"/>
      <c r="F11" s="66" t="n">
        <v>52</v>
      </c>
      <c r="G11" s="67" t="n">
        <v>2860000000</v>
      </c>
      <c r="H11" s="67" t="n">
        <v>5500000000</v>
      </c>
      <c r="I11" s="65" t="n"/>
    </row>
    <row r="13" ht="22" customHeight="1">
      <c r="B13" s="21" t="inlineStr">
        <is>
          <t xml:space="preserve">  🎯  CUÁNTAS EMPRESAS NECESITAMOS PARA LLENAR LAS 60 ha</t>
        </is>
      </c>
    </row>
    <row r="14" ht="35" customHeight="1">
      <c r="B14" s="61" t="inlineStr">
        <is>
          <t>MIX DE CLIENTES</t>
        </is>
      </c>
      <c r="C14" s="61" t="inlineStr">
        <is>
          <t># EMPRESAS</t>
        </is>
      </c>
      <c r="D14" s="61" t="inlineStr">
        <is>
          <t>ÁRBOLES
TOTALES</t>
        </is>
      </c>
      <c r="E14" s="61" t="inlineStr">
        <is>
          <t>HECTÁREAS
CUBIERTAS</t>
        </is>
      </c>
      <c r="F14" s="61" t="inlineStr">
        <is>
          <t>INGRESOS
BÁSICO</t>
        </is>
      </c>
      <c r="G14" s="61" t="inlineStr">
        <is>
          <t>INGRESOS
PREMIUM</t>
        </is>
      </c>
      <c r="H14" s="61" t="inlineStr">
        <is>
          <t>% FINCA
OCUPADA</t>
        </is>
      </c>
      <c r="I14" s="61" t="inlineStr">
        <is>
          <t>COMENTARIO</t>
        </is>
      </c>
    </row>
    <row r="15" ht="22" customHeight="1">
      <c r="B15" s="14" t="inlineStr">
        <is>
          <t>Solo medianas (200 emp)</t>
        </is>
      </c>
      <c r="C15" s="68" t="n">
        <v>33</v>
      </c>
      <c r="D15" s="68" t="n">
        <v>6600</v>
      </c>
      <c r="E15" s="69" t="n">
        <v>6</v>
      </c>
      <c r="F15" s="70" t="n">
        <v>858000000</v>
      </c>
      <c r="G15" s="70" t="n">
        <v>1650000000</v>
      </c>
      <c r="H15" s="26" t="inlineStr">
        <is>
          <t>10.0%</t>
        </is>
      </c>
      <c r="I15" s="26" t="inlineStr">
        <is>
          <t>1 año — inicio</t>
        </is>
      </c>
    </row>
    <row r="16" ht="22" customHeight="1">
      <c r="B16" s="16" t="inlineStr">
        <is>
          <t>Mix 20 med + 5 grandes</t>
        </is>
      </c>
      <c r="C16" s="71" t="n">
        <v>25</v>
      </c>
      <c r="D16" s="71" t="n">
        <v>16000</v>
      </c>
      <c r="E16" s="72" t="n">
        <v>14.5</v>
      </c>
      <c r="F16" s="73" t="n">
        <v>2080000000</v>
      </c>
      <c r="G16" s="73" t="n">
        <v>4000000000</v>
      </c>
      <c r="H16" s="23" t="inlineStr">
        <is>
          <t>24.2%</t>
        </is>
      </c>
      <c r="I16" s="23" t="inlineStr">
        <is>
          <t>Año 2</t>
        </is>
      </c>
    </row>
    <row r="17" ht="22" customHeight="1">
      <c r="B17" s="14" t="inlineStr">
        <is>
          <t>Mix 40 med + 10 grandes + 2 mult</t>
        </is>
      </c>
      <c r="C17" s="68" t="n">
        <v>52</v>
      </c>
      <c r="D17" s="68" t="n">
        <v>40000</v>
      </c>
      <c r="E17" s="69" t="n">
        <v>36.4</v>
      </c>
      <c r="F17" s="70" t="n">
        <v>5200000000</v>
      </c>
      <c r="G17" s="70" t="n">
        <v>10000000000</v>
      </c>
      <c r="H17" s="26" t="inlineStr">
        <is>
          <t>60.6%</t>
        </is>
      </c>
      <c r="I17" s="26" t="inlineStr">
        <is>
          <t>Año 3</t>
        </is>
      </c>
    </row>
    <row r="18" ht="22" customHeight="1">
      <c r="B18" s="74" t="inlineStr">
        <is>
          <t>Finca llena (66.000 árb)</t>
        </is>
      </c>
      <c r="C18" s="75" t="n">
        <v>65</v>
      </c>
      <c r="D18" s="75" t="n">
        <v>66000</v>
      </c>
      <c r="E18" s="76" t="n">
        <v>60</v>
      </c>
      <c r="F18" s="77" t="n">
        <v>8580000000</v>
      </c>
      <c r="G18" s="77" t="n">
        <v>16500000000</v>
      </c>
      <c r="H18" s="78" t="inlineStr">
        <is>
          <t>100%</t>
        </is>
      </c>
      <c r="I18" s="78" t="inlineStr">
        <is>
          <t>Año 4-5 (plena capacidad)</t>
        </is>
      </c>
    </row>
  </sheetData>
  <mergeCells count="4">
    <mergeCell ref="B13:H13"/>
    <mergeCell ref="B4:H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8" customWidth="1" min="7" max="7"/>
  </cols>
  <sheetData>
    <row r="1" ht="40" customHeight="1">
      <c r="A1" s="18" t="inlineStr">
        <is>
          <t>ESTRUCTURA DE INVERSIÓN TOTAL — BOSQUES MARULANDA</t>
        </is>
      </c>
    </row>
    <row r="3" ht="22" customHeight="1">
      <c r="B3" s="21" t="inlineStr">
        <is>
          <t xml:space="preserve">  🏡  ADQUISICIÓN Y LEGALIZACIÓN DE LA FINCA</t>
        </is>
      </c>
    </row>
    <row r="4" ht="22" customHeight="1">
      <c r="B4" s="20" t="inlineStr">
        <is>
          <t>RUBRO</t>
        </is>
      </c>
      <c r="C4" s="20" t="inlineStr">
        <is>
          <t>COSTO</t>
        </is>
      </c>
      <c r="D4" s="20" t="inlineStr">
        <is>
          <t>FUENTE</t>
        </is>
      </c>
      <c r="E4" s="20" t="inlineStr">
        <is>
          <t>AÑO</t>
        </is>
      </c>
      <c r="F4" s="20" t="inlineStr">
        <is>
          <t>OBSERVACIÓN</t>
        </is>
      </c>
    </row>
    <row r="5" ht="20" customHeight="1">
      <c r="B5" s="16" t="inlineStr">
        <is>
          <t>Compra finca 130 ha (oferta)</t>
        </is>
      </c>
      <c r="C5" s="79" t="n">
        <v>520000000</v>
      </c>
      <c r="D5" s="16" t="inlineStr">
        <is>
          <t>Mercado Marulanda 2025</t>
        </is>
      </c>
      <c r="E5" s="23" t="inlineStr">
        <is>
          <t>Año 0</t>
        </is>
      </c>
      <c r="F5" s="16" t="inlineStr">
        <is>
          <t>$4M/ha promedio zona páramo</t>
        </is>
      </c>
    </row>
    <row r="6" ht="20" customHeight="1">
      <c r="B6" s="14" t="inlineStr">
        <is>
          <t>Gastos notariales y registro</t>
        </is>
      </c>
      <c r="C6" s="80" t="n">
        <v>12000000</v>
      </c>
      <c r="D6" s="14" t="inlineStr">
        <is>
          <t>2.3% valor escritura</t>
        </is>
      </c>
      <c r="E6" s="26" t="inlineStr">
        <is>
          <t>Año 0</t>
        </is>
      </c>
      <c r="F6" s="14" t="inlineStr">
        <is>
          <t>Notaría + registro + impuestos</t>
        </is>
      </c>
    </row>
    <row r="7" ht="20" customHeight="1">
      <c r="B7" s="16" t="inlineStr">
        <is>
          <t>Estudio jurídico de títulos</t>
        </is>
      </c>
      <c r="C7" s="79" t="n">
        <v>5000000</v>
      </c>
      <c r="D7" s="16" t="inlineStr">
        <is>
          <t>Abogado especialista</t>
        </is>
      </c>
      <c r="E7" s="23" t="inlineStr">
        <is>
          <t>Año 0</t>
        </is>
      </c>
      <c r="F7" s="16" t="inlineStr">
        <is>
          <t>Due diligence legal</t>
        </is>
      </c>
    </row>
    <row r="8" ht="20" customHeight="1">
      <c r="B8" s="14" t="inlineStr">
        <is>
          <t>Levantamiento topográfico</t>
        </is>
      </c>
      <c r="C8" s="80" t="n">
        <v>8000000</v>
      </c>
      <c r="D8" s="14" t="inlineStr">
        <is>
          <t>Topógrafo certificado</t>
        </is>
      </c>
      <c r="E8" s="26" t="inlineStr">
        <is>
          <t>Año 0</t>
        </is>
      </c>
      <c r="F8" s="14" t="inlineStr">
        <is>
          <t>Deslinde + georref. 130 ha</t>
        </is>
      </c>
    </row>
    <row r="9" ht="20" customHeight="1">
      <c r="B9" s="31" t="inlineStr">
        <is>
          <t>SUBTOTAL ADQUISICIÓN</t>
        </is>
      </c>
      <c r="C9" s="81" t="n">
        <v>545000000</v>
      </c>
      <c r="D9" s="31" t="inlineStr"/>
      <c r="E9" s="33" t="inlineStr"/>
      <c r="F9" s="31" t="inlineStr"/>
    </row>
    <row r="11" ht="22" customHeight="1">
      <c r="B11" s="21" t="inlineStr">
        <is>
          <t xml:space="preserve">  🌿  ADECUACIÓN DEL PREDIO (60 ha productivas)</t>
        </is>
      </c>
    </row>
    <row r="12" ht="20" customHeight="1">
      <c r="B12" s="14" t="inlineStr">
        <is>
          <t>Cerramiento perimetral 60 ha</t>
        </is>
      </c>
      <c r="C12" s="80" t="n">
        <v>30000000</v>
      </c>
      <c r="D12" s="14" t="inlineStr">
        <is>
          <t>Referencia obras rurales Caldas</t>
        </is>
      </c>
      <c r="E12" s="26" t="inlineStr">
        <is>
          <t>Año 1</t>
        </is>
      </c>
      <c r="F12" s="14" t="inlineStr">
        <is>
          <t>Alambre de púas + postes madera</t>
        </is>
      </c>
    </row>
    <row r="13" ht="20" customHeight="1">
      <c r="B13" s="16" t="inlineStr">
        <is>
          <t>Vías internas y caminos</t>
        </is>
      </c>
      <c r="C13" s="79" t="n">
        <v>15000000</v>
      </c>
      <c r="D13" s="16" t="inlineStr">
        <is>
          <t>Estimado pendiente andino</t>
        </is>
      </c>
      <c r="E13" s="23" t="inlineStr">
        <is>
          <t>Año 1</t>
        </is>
      </c>
      <c r="F13" s="16" t="inlineStr">
        <is>
          <t>Acceso a zonas de siembra</t>
        </is>
      </c>
    </row>
    <row r="14" ht="20" customHeight="1">
      <c r="B14" s="14" t="inlineStr">
        <is>
          <t>Sistemas mínimos de riego (nacimientos)</t>
        </is>
      </c>
      <c r="C14" s="80" t="n">
        <v>8000000</v>
      </c>
      <c r="D14" s="14" t="inlineStr">
        <is>
          <t>Aprovechamiento hídrico predio</t>
        </is>
      </c>
      <c r="E14" s="26" t="inlineStr">
        <is>
          <t>Año 1</t>
        </is>
      </c>
      <c r="F14" s="14" t="inlineStr">
        <is>
          <t>3 nacimientos naturales</t>
        </is>
      </c>
    </row>
    <row r="15" ht="20" customHeight="1">
      <c r="B15" s="16" t="inlineStr">
        <is>
          <t>Plan de manejo ambiental Corpocaldas</t>
        </is>
      </c>
      <c r="C15" s="79" t="n">
        <v>12000000</v>
      </c>
      <c r="D15" s="16" t="inlineStr">
        <is>
          <t>Consultoría ambiental certificada</t>
        </is>
      </c>
      <c r="E15" s="23" t="inlineStr">
        <is>
          <t>Año 0-1</t>
        </is>
      </c>
      <c r="F15" s="16" t="inlineStr">
        <is>
          <t>Obligatorio para registro</t>
        </is>
      </c>
    </row>
    <row r="16" ht="20" customHeight="1">
      <c r="B16" s="14" t="inlineStr">
        <is>
          <t>Registro Área de Vida municipio</t>
        </is>
      </c>
      <c r="C16" s="80" t="n">
        <v>5000000</v>
      </c>
      <c r="D16" s="14" t="inlineStr">
        <is>
          <t>Secretaría Planeación Marulanda</t>
        </is>
      </c>
      <c r="E16" s="26" t="inlineStr">
        <is>
          <t>Año 1</t>
        </is>
      </c>
      <c r="F16" s="14" t="inlineStr">
        <is>
          <t>Trámite declaratoria</t>
        </is>
      </c>
    </row>
    <row r="17" ht="20" customHeight="1">
      <c r="B17" s="16" t="inlineStr">
        <is>
          <t>Registro plataforma MADS</t>
        </is>
      </c>
      <c r="C17" s="79" t="n">
        <v>3000000</v>
      </c>
      <c r="D17" s="16" t="inlineStr">
        <is>
          <t>Min. Ambiente</t>
        </is>
      </c>
      <c r="E17" s="23" t="inlineStr">
        <is>
          <t>Año 1</t>
        </is>
      </c>
      <c r="F17" s="16" t="inlineStr">
        <is>
          <t>Inscripción Proyectos Restauración</t>
        </is>
      </c>
    </row>
    <row r="18" ht="20" customHeight="1">
      <c r="B18" s="14" t="inlineStr">
        <is>
          <t>Herramientas y equipos de campo</t>
        </is>
      </c>
      <c r="C18" s="80" t="n">
        <v>6000000</v>
      </c>
      <c r="D18" s="14" t="inlineStr">
        <is>
          <t>Palas, ahoyadores, carretillas, EPP</t>
        </is>
      </c>
      <c r="E18" s="26" t="inlineStr">
        <is>
          <t>Año 1</t>
        </is>
      </c>
      <c r="F18" s="14" t="inlineStr">
        <is>
          <t>Dotación completa cuadrilla</t>
        </is>
      </c>
    </row>
    <row r="19" ht="20" customHeight="1">
      <c r="B19" s="31" t="inlineStr">
        <is>
          <t>SUBTOTAL ADECUACIÓN</t>
        </is>
      </c>
      <c r="C19" s="81" t="n">
        <v>79000000</v>
      </c>
      <c r="D19" s="31" t="inlineStr"/>
      <c r="E19" s="33" t="inlineStr"/>
      <c r="F19" s="31" t="inlineStr"/>
    </row>
    <row r="21" ht="22" customHeight="1">
      <c r="B21" s="21" t="inlineStr">
        <is>
          <t xml:space="preserve">  💼  INVERSIÓN OPERATIVA POR FASE (3 fases)</t>
        </is>
      </c>
    </row>
    <row r="22" ht="20" customHeight="1">
      <c r="B22" s="14" t="inlineStr">
        <is>
          <t>Plántulas ICA certificadas — Fase 1 (15.000 árb)</t>
        </is>
      </c>
      <c r="C22" s="80" t="n">
        <v>105000000</v>
      </c>
      <c r="D22" s="14" t="inlineStr">
        <is>
          <t>Viveros cert. Caldas $7.000/u</t>
        </is>
      </c>
      <c r="E22" s="26" t="inlineStr">
        <is>
          <t>Año 1</t>
        </is>
      </c>
      <c r="F22" s="14" t="inlineStr">
        <is>
          <t>15.000 × $7.000</t>
        </is>
      </c>
    </row>
    <row r="23" ht="20" customHeight="1">
      <c r="B23" s="16" t="inlineStr">
        <is>
          <t>Siembra mano de obra Fase 1</t>
        </is>
      </c>
      <c r="C23" s="79" t="n">
        <v>120000000</v>
      </c>
      <c r="D23" s="16" t="inlineStr">
        <is>
          <t>$8.000/árbol todo incluido</t>
        </is>
      </c>
      <c r="E23" s="23" t="inlineStr">
        <is>
          <t>Año 1</t>
        </is>
      </c>
      <c r="F23" s="16" t="inlineStr">
        <is>
          <t>15.000 × $8.000</t>
        </is>
      </c>
    </row>
    <row r="24" ht="20" customHeight="1">
      <c r="B24" s="14" t="inlineStr">
        <is>
          <t>Plántulas ICA certificadas — Fase 2 (25.000 árb)</t>
        </is>
      </c>
      <c r="C24" s="80" t="n">
        <v>175000000</v>
      </c>
      <c r="D24" s="14" t="inlineStr">
        <is>
          <t>Viveros cert. Caldas</t>
        </is>
      </c>
      <c r="E24" s="26" t="inlineStr">
        <is>
          <t>Año 2</t>
        </is>
      </c>
      <c r="F24" s="14" t="inlineStr">
        <is>
          <t>25.000 × $7.000</t>
        </is>
      </c>
    </row>
    <row r="25" ht="20" customHeight="1">
      <c r="B25" s="16" t="inlineStr">
        <is>
          <t>Siembra mano de obra Fase 2</t>
        </is>
      </c>
      <c r="C25" s="79" t="n">
        <v>200000000</v>
      </c>
      <c r="D25" s="16" t="inlineStr">
        <is>
          <t>$8.000/árbol</t>
        </is>
      </c>
      <c r="E25" s="23" t="inlineStr">
        <is>
          <t>Año 2</t>
        </is>
      </c>
      <c r="F25" s="16" t="inlineStr">
        <is>
          <t>25.000 × $8.000</t>
        </is>
      </c>
    </row>
    <row r="26" ht="20" customHeight="1">
      <c r="B26" s="14" t="inlineStr">
        <is>
          <t>Plántulas ICA certificadas — Fase 3 (26.000 árb)</t>
        </is>
      </c>
      <c r="C26" s="80" t="n">
        <v>182000000</v>
      </c>
      <c r="D26" s="14" t="inlineStr">
        <is>
          <t>Viveros cert. Caldas</t>
        </is>
      </c>
      <c r="E26" s="26" t="inlineStr">
        <is>
          <t>Año 3</t>
        </is>
      </c>
      <c r="F26" s="14" t="inlineStr">
        <is>
          <t>26.000 × $7.000</t>
        </is>
      </c>
    </row>
    <row r="27" ht="20" customHeight="1">
      <c r="B27" s="16" t="inlineStr">
        <is>
          <t>Siembra mano de obra Fase 3</t>
        </is>
      </c>
      <c r="C27" s="79" t="n">
        <v>208000000</v>
      </c>
      <c r="D27" s="16" t="inlineStr">
        <is>
          <t>$8.000/árbol</t>
        </is>
      </c>
      <c r="E27" s="23" t="inlineStr">
        <is>
          <t>Año 3</t>
        </is>
      </c>
      <c r="F27" s="16" t="inlineStr">
        <is>
          <t>26.000 × $8.000</t>
        </is>
      </c>
    </row>
    <row r="28" ht="20" customHeight="1">
      <c r="B28" s="14" t="inlineStr">
        <is>
          <t>Mantenimiento año 1 (todas las fases)</t>
        </is>
      </c>
      <c r="C28" s="80" t="n">
        <v>180000000</v>
      </c>
      <c r="D28" s="14" t="inlineStr">
        <is>
          <t>$12.000/árbol/año</t>
        </is>
      </c>
      <c r="E28" s="26" t="inlineStr">
        <is>
          <t>Año 1-4</t>
        </is>
      </c>
      <c r="F28" s="14" t="inlineStr">
        <is>
          <t>15.000 árb/fase → escalonado</t>
        </is>
      </c>
    </row>
    <row r="29" ht="20" customHeight="1">
      <c r="B29" s="16" t="inlineStr">
        <is>
          <t>Mantenimiento año 2 (todas las fases)</t>
        </is>
      </c>
      <c r="C29" s="79" t="n">
        <v>120000000</v>
      </c>
      <c r="D29" s="16" t="inlineStr">
        <is>
          <t>$8.000/árbol/año</t>
        </is>
      </c>
      <c r="E29" s="23" t="inlineStr">
        <is>
          <t>Año 2-5</t>
        </is>
      </c>
      <c r="F29" s="16" t="inlineStr">
        <is>
          <t>Escalonado por fase</t>
        </is>
      </c>
    </row>
    <row r="30" ht="20" customHeight="1">
      <c r="B30" s="14" t="inlineStr">
        <is>
          <t>Certificaciones y trámites por año</t>
        </is>
      </c>
      <c r="C30" s="80" t="n">
        <v>24000000</v>
      </c>
      <c r="D30" s="14" t="inlineStr">
        <is>
          <t>$3.000–$4.000 árbol/año</t>
        </is>
      </c>
      <c r="E30" s="26" t="inlineStr">
        <is>
          <t>Anual</t>
        </is>
      </c>
      <c r="F30" s="14" t="inlineStr">
        <is>
          <t>MADS + secretarías municipales</t>
        </is>
      </c>
    </row>
    <row r="31" ht="20" customHeight="1">
      <c r="B31" s="31" t="inlineStr">
        <is>
          <t>SUBTOTAL OPERATIVO (3 años)</t>
        </is>
      </c>
      <c r="C31" s="81" t="n">
        <v>1314000000</v>
      </c>
      <c r="D31" s="31" t="inlineStr"/>
      <c r="E31" s="33" t="inlineStr"/>
      <c r="F31" s="31" t="inlineStr"/>
    </row>
    <row r="33" ht="28" customHeight="1">
      <c r="B33" s="82" t="inlineStr">
        <is>
          <t>INVERSIÓN TOTAL DEL PROYECTO (con compra finca)</t>
        </is>
      </c>
      <c r="F33" s="83" t="n">
        <v>1938000000</v>
      </c>
    </row>
    <row r="34" ht="28" customHeight="1">
      <c r="B34" s="84" t="inlineStr">
        <is>
          <t>INVERSIÓN TOTAL SIN COMPRA DE FINCA</t>
        </is>
      </c>
      <c r="F34" s="85" t="n">
        <v>1393000000</v>
      </c>
    </row>
  </sheetData>
  <mergeCells count="6">
    <mergeCell ref="B3:G3"/>
    <mergeCell ref="A1:G1"/>
    <mergeCell ref="B33:E33"/>
    <mergeCell ref="B34:E34"/>
    <mergeCell ref="B21:G21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86" t="inlineStr">
        <is>
          <t>ESCENARIO A — 100% RECURSOS PROPIOS</t>
        </is>
      </c>
    </row>
    <row r="2" ht="20" customHeight="1">
      <c r="A2" s="87" t="inlineStr">
        <is>
          <t>Todo el capital aportado por socios fundadores. Horizonte: 5 años hacia flujo positivo sostenido.</t>
        </is>
      </c>
    </row>
    <row r="3" ht="26" customHeight="1">
      <c r="B3" s="88" t="inlineStr">
        <is>
          <t>CONCEPTO</t>
        </is>
      </c>
      <c r="C3" s="12" t="inlineStr">
        <is>
          <t>AÑO 0
(Adquisición)</t>
        </is>
      </c>
      <c r="D3" s="12" t="inlineStr">
        <is>
          <t>AÑO 1
(Fase 1)</t>
        </is>
      </c>
      <c r="E3" s="12" t="inlineStr">
        <is>
          <t>AÑO 2
(Fase 2)</t>
        </is>
      </c>
      <c r="F3" s="12" t="inlineStr">
        <is>
          <t>AÑO 3
(Fase 3)</t>
        </is>
      </c>
      <c r="G3" s="12" t="inlineStr">
        <is>
          <t>AÑO 4
(Plena op.)</t>
        </is>
      </c>
      <c r="H3" s="12" t="inlineStr">
        <is>
          <t>AÑO 5
(Madurez)</t>
        </is>
      </c>
      <c r="I3" s="89" t="inlineStr">
        <is>
          <t>TOTAL / PROM</t>
        </is>
      </c>
    </row>
    <row r="4" ht="22" customHeight="1">
      <c r="B4" s="90" t="inlineStr">
        <is>
          <t xml:space="preserve">  📉  INVERSIONES Y EGRESOS</t>
        </is>
      </c>
    </row>
    <row r="5" ht="20" customHeight="1">
      <c r="B5" s="16" t="inlineStr">
        <is>
          <t>Compra finca 130 ha</t>
        </is>
      </c>
      <c r="C5" s="59" t="n">
        <v>-520000000</v>
      </c>
      <c r="D5" s="59" t="n">
        <v>0</v>
      </c>
      <c r="E5" s="59" t="n">
        <v>0</v>
      </c>
      <c r="F5" s="59" t="n">
        <v>0</v>
      </c>
      <c r="G5" s="59" t="n">
        <v>0</v>
      </c>
      <c r="H5" s="59" t="n">
        <v>0</v>
      </c>
      <c r="I5" s="91" t="n">
        <v>-520000000</v>
      </c>
    </row>
    <row r="6" ht="20" customHeight="1">
      <c r="B6" s="92" t="inlineStr">
        <is>
          <t>Gastos notariales y registro</t>
        </is>
      </c>
      <c r="C6" s="93" t="n">
        <v>-12000000</v>
      </c>
      <c r="D6" s="93" t="n">
        <v>0</v>
      </c>
      <c r="E6" s="93" t="n">
        <v>0</v>
      </c>
      <c r="F6" s="93" t="n">
        <v>0</v>
      </c>
      <c r="G6" s="93" t="n">
        <v>0</v>
      </c>
      <c r="H6" s="93" t="n">
        <v>0</v>
      </c>
      <c r="I6" s="94" t="n">
        <v>-12000000</v>
      </c>
    </row>
    <row r="7" ht="20" customHeight="1">
      <c r="B7" s="16" t="inlineStr">
        <is>
          <t>Adecuación y legalización predio</t>
        </is>
      </c>
      <c r="C7" s="59" t="n">
        <v>-50000000</v>
      </c>
      <c r="D7" s="59" t="n">
        <v>-29000000</v>
      </c>
      <c r="E7" s="59" t="n">
        <v>0</v>
      </c>
      <c r="F7" s="59" t="n">
        <v>0</v>
      </c>
      <c r="G7" s="59" t="n">
        <v>0</v>
      </c>
      <c r="H7" s="59" t="n">
        <v>0</v>
      </c>
      <c r="I7" s="91" t="n">
        <v>-79000000</v>
      </c>
    </row>
    <row r="8" ht="20" customHeight="1">
      <c r="B8" s="92" t="inlineStr">
        <is>
          <t>Plántulas ICA + siembra Fase 1 (15K árb)</t>
        </is>
      </c>
      <c r="C8" s="93" t="n">
        <v>0</v>
      </c>
      <c r="D8" s="93" t="n">
        <v>-225000000</v>
      </c>
      <c r="E8" s="93" t="n">
        <v>0</v>
      </c>
      <c r="F8" s="93" t="n">
        <v>0</v>
      </c>
      <c r="G8" s="93" t="n">
        <v>0</v>
      </c>
      <c r="H8" s="93" t="n">
        <v>0</v>
      </c>
      <c r="I8" s="94" t="n">
        <v>-225000000</v>
      </c>
    </row>
    <row r="9" ht="20" customHeight="1">
      <c r="B9" s="16" t="inlineStr">
        <is>
          <t>Plántulas ICA + siembra Fase 2 (25K árb)</t>
        </is>
      </c>
      <c r="C9" s="59" t="n">
        <v>0</v>
      </c>
      <c r="D9" s="59" t="n">
        <v>0</v>
      </c>
      <c r="E9" s="59" t="n">
        <v>-375000000</v>
      </c>
      <c r="F9" s="59" t="n">
        <v>0</v>
      </c>
      <c r="G9" s="59" t="n">
        <v>0</v>
      </c>
      <c r="H9" s="59" t="n">
        <v>0</v>
      </c>
      <c r="I9" s="91" t="n">
        <v>-375000000</v>
      </c>
    </row>
    <row r="10" ht="20" customHeight="1">
      <c r="B10" s="92" t="inlineStr">
        <is>
          <t>Plántulas ICA + siembra Fase 3 (26K árb)</t>
        </is>
      </c>
      <c r="C10" s="93" t="n">
        <v>0</v>
      </c>
      <c r="D10" s="93" t="n">
        <v>0</v>
      </c>
      <c r="E10" s="93" t="n">
        <v>0</v>
      </c>
      <c r="F10" s="93" t="n">
        <v>-390000000</v>
      </c>
      <c r="G10" s="93" t="n">
        <v>0</v>
      </c>
      <c r="H10" s="93" t="n">
        <v>0</v>
      </c>
      <c r="I10" s="94" t="n">
        <v>-390000000</v>
      </c>
    </row>
    <row r="11" ht="20" customHeight="1">
      <c r="B11" s="16" t="inlineStr">
        <is>
          <t>Mantenimiento (año 1 de c/fase)</t>
        </is>
      </c>
      <c r="C11" s="59" t="n">
        <v>0</v>
      </c>
      <c r="D11" s="59" t="n">
        <v>-180000000</v>
      </c>
      <c r="E11" s="59" t="n">
        <v>-300000000</v>
      </c>
      <c r="F11" s="59" t="n">
        <v>-312000000</v>
      </c>
      <c r="G11" s="59" t="n">
        <v>-120000000</v>
      </c>
      <c r="H11" s="59" t="n">
        <v>0</v>
      </c>
      <c r="I11" s="91" t="n">
        <v>-912000000</v>
      </c>
    </row>
    <row r="12" ht="20" customHeight="1">
      <c r="B12" s="92" t="inlineStr">
        <is>
          <t>Mantenimiento (año 2 de c/fase)</t>
        </is>
      </c>
      <c r="C12" s="93" t="n">
        <v>0</v>
      </c>
      <c r="D12" s="93" t="n">
        <v>0</v>
      </c>
      <c r="E12" s="93" t="n">
        <v>-120000000</v>
      </c>
      <c r="F12" s="93" t="n">
        <v>-200000000</v>
      </c>
      <c r="G12" s="93" t="n">
        <v>-208000000</v>
      </c>
      <c r="H12" s="93" t="n">
        <v>-120000000</v>
      </c>
      <c r="I12" s="94" t="n">
        <v>-648000000</v>
      </c>
    </row>
    <row r="13" ht="20" customHeight="1">
      <c r="B13" s="16" t="inlineStr">
        <is>
          <t>Certificaciones y trámites</t>
        </is>
      </c>
      <c r="C13" s="59" t="n">
        <v>0</v>
      </c>
      <c r="D13" s="59" t="n">
        <v>-22500000</v>
      </c>
      <c r="E13" s="59" t="n">
        <v>-37500000</v>
      </c>
      <c r="F13" s="59" t="n">
        <v>-39000000</v>
      </c>
      <c r="G13" s="59" t="n">
        <v>-39600000</v>
      </c>
      <c r="H13" s="59" t="n">
        <v>-39600000</v>
      </c>
      <c r="I13" s="91" t="n">
        <v>-178200000</v>
      </c>
    </row>
    <row r="14" ht="20" customHeight="1">
      <c r="B14" s="92" t="inlineStr">
        <is>
          <t>Gastos admin y comerciales</t>
        </is>
      </c>
      <c r="C14" s="93" t="n">
        <v>0</v>
      </c>
      <c r="D14" s="93" t="n">
        <v>-36000000</v>
      </c>
      <c r="E14" s="93" t="n">
        <v>-48000000</v>
      </c>
      <c r="F14" s="93" t="n">
        <v>-60000000</v>
      </c>
      <c r="G14" s="93" t="n">
        <v>-72000000</v>
      </c>
      <c r="H14" s="93" t="n">
        <v>-72000000</v>
      </c>
      <c r="I14" s="94" t="n">
        <v>-288000000</v>
      </c>
    </row>
    <row r="15" ht="24" customHeight="1">
      <c r="B15" s="95" t="inlineStr">
        <is>
          <t>TOTAL INVERSIÓN / EGRESOS</t>
        </is>
      </c>
      <c r="C15" s="96" t="n">
        <v>-582000000</v>
      </c>
      <c r="D15" s="96" t="n">
        <v>-492500000</v>
      </c>
      <c r="E15" s="96" t="n">
        <v>-880500000</v>
      </c>
      <c r="F15" s="96" t="n">
        <v>-1001000000</v>
      </c>
      <c r="G15" s="96" t="n">
        <v>-439600000</v>
      </c>
      <c r="H15" s="96" t="n">
        <v>-231600000</v>
      </c>
      <c r="I15" s="96" t="n">
        <v>-3627200000</v>
      </c>
    </row>
    <row r="17" ht="22" customHeight="1">
      <c r="B17" s="30" t="inlineStr">
        <is>
          <t xml:space="preserve">  📈  INGRESOS OPERATIVOS</t>
        </is>
      </c>
    </row>
    <row r="18" ht="20" customHeight="1">
      <c r="B18" s="14" t="inlineStr">
        <is>
          <t>Ingresos paquete básico (70%/50%)</t>
        </is>
      </c>
      <c r="C18" s="58" t="n">
        <v>0</v>
      </c>
      <c r="D18" s="58" t="n">
        <v>136500000</v>
      </c>
      <c r="E18" s="58" t="n">
        <v>341250000</v>
      </c>
      <c r="F18" s="58" t="n">
        <v>534600000</v>
      </c>
      <c r="G18" s="58" t="n">
        <v>2145000000</v>
      </c>
      <c r="H18" s="58" t="n">
        <v>2145000000</v>
      </c>
      <c r="I18" s="97" t="n">
        <v>5302350000</v>
      </c>
    </row>
    <row r="19" ht="20" customHeight="1">
      <c r="B19" s="16" t="inlineStr">
        <is>
          <t>Ingresos paquete premium (30%/50%)</t>
        </is>
      </c>
      <c r="C19" s="59" t="n">
        <v>0</v>
      </c>
      <c r="D19" s="59" t="n">
        <v>112500000</v>
      </c>
      <c r="E19" s="59" t="n">
        <v>281250000</v>
      </c>
      <c r="F19" s="59" t="n">
        <v>441000000</v>
      </c>
      <c r="G19" s="59" t="n">
        <v>2062500000</v>
      </c>
      <c r="H19" s="59" t="n">
        <v>2062500000</v>
      </c>
      <c r="I19" s="98" t="n">
        <v>4959750000</v>
      </c>
    </row>
    <row r="20" ht="24" customHeight="1">
      <c r="B20" s="99" t="inlineStr">
        <is>
          <t>TOTAL INGRESOS</t>
        </is>
      </c>
      <c r="C20" s="100" t="n">
        <v>0</v>
      </c>
      <c r="D20" s="100" t="n">
        <v>249000000</v>
      </c>
      <c r="E20" s="100" t="n">
        <v>622500000</v>
      </c>
      <c r="F20" s="100" t="n">
        <v>975600000</v>
      </c>
      <c r="G20" s="100" t="n">
        <v>4207500000</v>
      </c>
      <c r="H20" s="100" t="n">
        <v>4207500000</v>
      </c>
      <c r="I20" s="100" t="n">
        <v>10262100000</v>
      </c>
    </row>
    <row r="22" ht="22" customHeight="1">
      <c r="B22" s="51" t="inlineStr">
        <is>
          <t xml:space="preserve">  💵  FLUJO DE CAJA Y MÉTRICAS</t>
        </is>
      </c>
    </row>
    <row r="23" ht="24" customHeight="1">
      <c r="B23" s="101" t="inlineStr">
        <is>
          <t>Flujo neto del período (COP)</t>
        </is>
      </c>
      <c r="C23" s="102" t="n">
        <v>-582000000</v>
      </c>
      <c r="D23" s="102" t="n">
        <v>-243500000</v>
      </c>
      <c r="E23" s="102" t="n">
        <v>-258000000</v>
      </c>
      <c r="F23" s="102" t="n">
        <v>-25400000</v>
      </c>
      <c r="G23" s="102" t="n">
        <v>3767900000</v>
      </c>
      <c r="H23" s="102" t="n">
        <v>3975900000</v>
      </c>
      <c r="I23" s="102" t="n">
        <v>6634900000</v>
      </c>
    </row>
    <row r="24" ht="24" customHeight="1">
      <c r="B24" s="103" t="inlineStr">
        <is>
          <t>Flujo acumulado (COP)</t>
        </is>
      </c>
      <c r="C24" s="104" t="n">
        <v>-582000000</v>
      </c>
      <c r="D24" s="104" t="n">
        <v>-825500000</v>
      </c>
      <c r="E24" s="104" t="n">
        <v>-1083500000</v>
      </c>
      <c r="F24" s="104" t="n">
        <v>-1108900000</v>
      </c>
      <c r="G24" s="104" t="n">
        <v>2659000000</v>
      </c>
      <c r="H24" s="104" t="n">
        <v>6634900000</v>
      </c>
      <c r="I24" s="104" t="n">
        <v>6634900000</v>
      </c>
    </row>
  </sheetData>
  <mergeCells count="5">
    <mergeCell ref="A2:I2"/>
    <mergeCell ref="A1:I1"/>
    <mergeCell ref="B22:I22"/>
    <mergeCell ref="B4:I4"/>
    <mergeCell ref="B17:I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7950B"/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86" t="inlineStr">
        <is>
          <t>ESCENARIO B — CAPITAL PROPIO + FINAGRO + iNNpulsa</t>
        </is>
      </c>
    </row>
    <row r="2" ht="20" customHeight="1">
      <c r="A2" s="87" t="inlineStr">
        <is>
          <t>40% capital propio | 40% Finagro Reforestación | 8% iNNpulsa (no reembolsable). Payback ~2.5 años capital propio.</t>
        </is>
      </c>
    </row>
    <row r="3" ht="26" customHeight="1">
      <c r="B3" s="88" t="inlineStr">
        <is>
          <t>CONCEPTO</t>
        </is>
      </c>
      <c r="C3" s="105" t="inlineStr">
        <is>
          <t>AÑO 0</t>
        </is>
      </c>
      <c r="D3" s="105" t="inlineStr">
        <is>
          <t>AÑO 1</t>
        </is>
      </c>
      <c r="E3" s="105" t="inlineStr">
        <is>
          <t>AÑO 2</t>
        </is>
      </c>
      <c r="F3" s="105" t="inlineStr">
        <is>
          <t>AÑO 3</t>
        </is>
      </c>
      <c r="G3" s="105" t="inlineStr">
        <is>
          <t>AÑO 4</t>
        </is>
      </c>
      <c r="H3" s="105" t="inlineStr">
        <is>
          <t>AÑO 5</t>
        </is>
      </c>
      <c r="I3" s="89" t="inlineStr">
        <is>
          <t>TOTAL / PROM</t>
        </is>
      </c>
    </row>
    <row r="4" ht="22" customHeight="1">
      <c r="B4" s="90" t="inlineStr">
        <is>
          <t xml:space="preserve">  📉  INVERSIONES Y EGRESOS</t>
        </is>
      </c>
    </row>
    <row r="5" ht="20" customHeight="1">
      <c r="B5" s="16" t="inlineStr">
        <is>
          <t>Compra finca (capital propio)</t>
        </is>
      </c>
      <c r="C5" s="59" t="n">
        <v>-520000000</v>
      </c>
      <c r="D5" s="59" t="n">
        <v>0</v>
      </c>
      <c r="E5" s="59" t="n">
        <v>0</v>
      </c>
      <c r="F5" s="59" t="n">
        <v>0</v>
      </c>
      <c r="G5" s="59" t="n">
        <v>0</v>
      </c>
      <c r="H5" s="59" t="n">
        <v>0</v>
      </c>
      <c r="I5" s="91" t="n">
        <v>-520000000</v>
      </c>
    </row>
    <row r="6" ht="20" customHeight="1">
      <c r="B6" s="92" t="inlineStr">
        <is>
          <t>Gastos notariales + adecuación</t>
        </is>
      </c>
      <c r="C6" s="93" t="n">
        <v>-62000000</v>
      </c>
      <c r="D6" s="93" t="n">
        <v>-17000000</v>
      </c>
      <c r="E6" s="93" t="n">
        <v>0</v>
      </c>
      <c r="F6" s="93" t="n">
        <v>0</v>
      </c>
      <c r="G6" s="93" t="n">
        <v>0</v>
      </c>
      <c r="H6" s="93" t="n">
        <v>0</v>
      </c>
      <c r="I6" s="94" t="n">
        <v>-79000000</v>
      </c>
    </row>
    <row r="7" ht="20" customHeight="1">
      <c r="B7" s="16" t="inlineStr">
        <is>
          <t>Siembra Fase 1 — con crédito Finagro</t>
        </is>
      </c>
      <c r="C7" s="59" t="n">
        <v>0</v>
      </c>
      <c r="D7" s="59" t="n">
        <v>-225000000</v>
      </c>
      <c r="E7" s="59" t="n">
        <v>0</v>
      </c>
      <c r="F7" s="59" t="n">
        <v>0</v>
      </c>
      <c r="G7" s="59" t="n">
        <v>0</v>
      </c>
      <c r="H7" s="59" t="n">
        <v>0</v>
      </c>
      <c r="I7" s="91" t="n">
        <v>-225000000</v>
      </c>
    </row>
    <row r="8" ht="20" customHeight="1">
      <c r="B8" s="92" t="inlineStr">
        <is>
          <t>Siembra Fase 2 — con crédito Finagro</t>
        </is>
      </c>
      <c r="C8" s="93" t="n">
        <v>0</v>
      </c>
      <c r="D8" s="93" t="n">
        <v>0</v>
      </c>
      <c r="E8" s="93" t="n">
        <v>-375000000</v>
      </c>
      <c r="F8" s="93" t="n">
        <v>0</v>
      </c>
      <c r="G8" s="93" t="n">
        <v>0</v>
      </c>
      <c r="H8" s="93" t="n">
        <v>0</v>
      </c>
      <c r="I8" s="94" t="n">
        <v>-375000000</v>
      </c>
    </row>
    <row r="9" ht="20" customHeight="1">
      <c r="B9" s="16" t="inlineStr">
        <is>
          <t>Siembra Fase 3 — con crédito Finagro</t>
        </is>
      </c>
      <c r="C9" s="59" t="n">
        <v>0</v>
      </c>
      <c r="D9" s="59" t="n">
        <v>0</v>
      </c>
      <c r="E9" s="59" t="n">
        <v>0</v>
      </c>
      <c r="F9" s="59" t="n">
        <v>-390000000</v>
      </c>
      <c r="G9" s="59" t="n">
        <v>0</v>
      </c>
      <c r="H9" s="59" t="n">
        <v>0</v>
      </c>
      <c r="I9" s="91" t="n">
        <v>-390000000</v>
      </c>
    </row>
    <row r="10" ht="20" customHeight="1">
      <c r="B10" s="92" t="inlineStr">
        <is>
          <t>Mantenimiento total</t>
        </is>
      </c>
      <c r="C10" s="93" t="n">
        <v>0</v>
      </c>
      <c r="D10" s="93" t="n">
        <v>-180000000</v>
      </c>
      <c r="E10" s="93" t="n">
        <v>-420000000</v>
      </c>
      <c r="F10" s="93" t="n">
        <v>-512000000</v>
      </c>
      <c r="G10" s="93" t="n">
        <v>-328000000</v>
      </c>
      <c r="H10" s="93" t="n">
        <v>-120000000</v>
      </c>
      <c r="I10" s="94" t="n">
        <v>-1560000000</v>
      </c>
    </row>
    <row r="11" ht="20" customHeight="1">
      <c r="B11" s="16" t="inlineStr">
        <is>
          <t>Cuota crédito Finagro ($400M, 8 años)</t>
        </is>
      </c>
      <c r="C11" s="59" t="n">
        <v>0</v>
      </c>
      <c r="D11" s="59" t="n">
        <v>-28000000</v>
      </c>
      <c r="E11" s="59" t="n">
        <v>-56000000</v>
      </c>
      <c r="F11" s="59" t="n">
        <v>-56000000</v>
      </c>
      <c r="G11" s="59" t="n">
        <v>-56000000</v>
      </c>
      <c r="H11" s="59" t="n">
        <v>-56000000</v>
      </c>
      <c r="I11" s="91" t="n">
        <v>-252000000</v>
      </c>
    </row>
    <row r="12" ht="20" customHeight="1">
      <c r="B12" s="92" t="inlineStr">
        <is>
          <t>Certificaciones + admin</t>
        </is>
      </c>
      <c r="C12" s="93" t="n">
        <v>0</v>
      </c>
      <c r="D12" s="93" t="n">
        <v>-58500000</v>
      </c>
      <c r="E12" s="93" t="n">
        <v>-85500000</v>
      </c>
      <c r="F12" s="93" t="n">
        <v>-99000000</v>
      </c>
      <c r="G12" s="93" t="n">
        <v>-111600000</v>
      </c>
      <c r="H12" s="93" t="n">
        <v>-111600000</v>
      </c>
      <c r="I12" s="94" t="n">
        <v>-466200000</v>
      </c>
    </row>
    <row r="13" ht="24" customHeight="1">
      <c r="B13" s="95" t="inlineStr">
        <is>
          <t>TOTAL INVERSIÓN / EGRESOS</t>
        </is>
      </c>
      <c r="C13" s="96" t="n">
        <v>-582000000</v>
      </c>
      <c r="D13" s="96" t="n">
        <v>-508500000</v>
      </c>
      <c r="E13" s="96" t="n">
        <v>-936500000</v>
      </c>
      <c r="F13" s="96" t="n">
        <v>-1057000000</v>
      </c>
      <c r="G13" s="96" t="n">
        <v>-495600000</v>
      </c>
      <c r="H13" s="96" t="n">
        <v>-287600000</v>
      </c>
      <c r="I13" s="96" t="n">
        <v>-3867200000</v>
      </c>
    </row>
    <row r="15" ht="22" customHeight="1">
      <c r="B15" s="30" t="inlineStr">
        <is>
          <t xml:space="preserve">  📈  INGRESOS OPERATIVOS</t>
        </is>
      </c>
    </row>
    <row r="16" ht="20" customHeight="1">
      <c r="B16" s="14" t="inlineStr">
        <is>
          <t>Ingresos paquete básico</t>
        </is>
      </c>
      <c r="C16" s="58" t="n">
        <v>0</v>
      </c>
      <c r="D16" s="58" t="n">
        <v>136500000</v>
      </c>
      <c r="E16" s="58" t="n">
        <v>341250000</v>
      </c>
      <c r="F16" s="58" t="n">
        <v>534600000</v>
      </c>
      <c r="G16" s="58" t="n">
        <v>2145000000</v>
      </c>
      <c r="H16" s="58" t="n">
        <v>2145000000</v>
      </c>
      <c r="I16" s="97" t="n">
        <v>5302350000</v>
      </c>
    </row>
    <row r="17" ht="20" customHeight="1">
      <c r="B17" s="16" t="inlineStr">
        <is>
          <t>Ingresos paquete premium</t>
        </is>
      </c>
      <c r="C17" s="59" t="n">
        <v>0</v>
      </c>
      <c r="D17" s="59" t="n">
        <v>112500000</v>
      </c>
      <c r="E17" s="59" t="n">
        <v>281250000</v>
      </c>
      <c r="F17" s="59" t="n">
        <v>441000000</v>
      </c>
      <c r="G17" s="59" t="n">
        <v>2062500000</v>
      </c>
      <c r="H17" s="59" t="n">
        <v>2062500000</v>
      </c>
      <c r="I17" s="98" t="n">
        <v>4959750000</v>
      </c>
    </row>
    <row r="18" ht="24" customHeight="1">
      <c r="B18" s="99" t="inlineStr">
        <is>
          <t>TOTAL INGRESOS</t>
        </is>
      </c>
      <c r="C18" s="100" t="n">
        <v>0</v>
      </c>
      <c r="D18" s="100" t="n">
        <v>249000000</v>
      </c>
      <c r="E18" s="100" t="n">
        <v>622500000</v>
      </c>
      <c r="F18" s="100" t="n">
        <v>975600000</v>
      </c>
      <c r="G18" s="100" t="n">
        <v>4207500000</v>
      </c>
      <c r="H18" s="100" t="n">
        <v>4207500000</v>
      </c>
      <c r="I18" s="100" t="n">
        <v>10262100000</v>
      </c>
    </row>
    <row r="20" ht="22" customHeight="1">
      <c r="B20" s="35" t="inlineStr">
        <is>
          <t xml:space="preserve">  🏦  FINANCIACIÓN EXTERNA</t>
        </is>
      </c>
    </row>
    <row r="21" ht="20" customHeight="1">
      <c r="B21" s="16" t="inlineStr">
        <is>
          <t>Crédito Finagro reforestación (desembolso)</t>
        </is>
      </c>
      <c r="C21" s="59" t="n">
        <v>0</v>
      </c>
      <c r="D21" s="59" t="n">
        <v>200000000</v>
      </c>
      <c r="E21" s="59" t="n">
        <v>200000000</v>
      </c>
      <c r="F21" s="59" t="n">
        <v>0</v>
      </c>
      <c r="G21" s="59" t="n">
        <v>0</v>
      </c>
      <c r="H21" s="59" t="n">
        <v>0</v>
      </c>
      <c r="I21" s="106" t="n">
        <v>400000000</v>
      </c>
    </row>
    <row r="22" ht="20" customHeight="1">
      <c r="B22" s="36" t="inlineStr">
        <is>
          <t>Recurso iNNpulsa / Fondo Emprender (no reembolsable)</t>
        </is>
      </c>
      <c r="C22" s="107" t="n">
        <v>0</v>
      </c>
      <c r="D22" s="107" t="n">
        <v>80000000</v>
      </c>
      <c r="E22" s="107" t="n">
        <v>0</v>
      </c>
      <c r="F22" s="107" t="n">
        <v>0</v>
      </c>
      <c r="G22" s="107" t="n">
        <v>0</v>
      </c>
      <c r="H22" s="107" t="n">
        <v>0</v>
      </c>
      <c r="I22" s="108" t="n">
        <v>80000000</v>
      </c>
    </row>
    <row r="24" ht="22" customHeight="1">
      <c r="B24" s="51" t="inlineStr">
        <is>
          <t xml:space="preserve">  💵  FLUJO DE CAJA Y MÉTRICAS</t>
        </is>
      </c>
    </row>
    <row r="25" ht="24" customHeight="1">
      <c r="B25" s="101" t="inlineStr">
        <is>
          <t>Flujo neto del período (COP)</t>
        </is>
      </c>
      <c r="C25" s="102" t="n">
        <v>-582000000</v>
      </c>
      <c r="D25" s="102" t="n">
        <v>20500000</v>
      </c>
      <c r="E25" s="102" t="n">
        <v>-114000000</v>
      </c>
      <c r="F25" s="102" t="n">
        <v>-81400000</v>
      </c>
      <c r="G25" s="102" t="n">
        <v>3711900000</v>
      </c>
      <c r="H25" s="102" t="n">
        <v>3919900000</v>
      </c>
      <c r="I25" s="102" t="n">
        <v>6874900000</v>
      </c>
    </row>
    <row r="26" ht="24" customHeight="1">
      <c r="B26" s="103" t="inlineStr">
        <is>
          <t>Flujo acumulado (COP)</t>
        </is>
      </c>
      <c r="C26" s="104" t="n">
        <v>-582000000</v>
      </c>
      <c r="D26" s="104" t="n">
        <v>-561500000</v>
      </c>
      <c r="E26" s="104" t="n">
        <v>-675500000</v>
      </c>
      <c r="F26" s="104" t="n">
        <v>-756900000</v>
      </c>
      <c r="G26" s="104" t="n">
        <v>2955000000</v>
      </c>
      <c r="H26" s="104" t="n">
        <v>6874900000</v>
      </c>
      <c r="I26" s="104" t="n">
        <v>6874900000</v>
      </c>
    </row>
  </sheetData>
  <mergeCells count="6">
    <mergeCell ref="A2:I2"/>
    <mergeCell ref="B15:I15"/>
    <mergeCell ref="B24:I24"/>
    <mergeCell ref="B20:I20"/>
    <mergeCell ref="A1:I1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0" customHeight="1">
      <c r="A1" s="86" t="inlineStr">
        <is>
          <t>ESCENARIO C — BOSQUES MARULANDA SAS + FONDO DE IMPACTO AMBIENTAL</t>
        </is>
      </c>
    </row>
    <row r="2" ht="20" customHeight="1">
      <c r="A2" s="87" t="inlineStr">
        <is>
          <t>Modelo societario: capital propio 45% | fondo verde 25% | Finagro 30%. Escala nacional a partir del año 3.</t>
        </is>
      </c>
    </row>
    <row r="3" ht="26" customHeight="1">
      <c r="B3" s="88" t="inlineStr">
        <is>
          <t>CONCEPTO</t>
        </is>
      </c>
      <c r="C3" s="20" t="inlineStr">
        <is>
          <t>AÑO 0</t>
        </is>
      </c>
      <c r="D3" s="20" t="inlineStr">
        <is>
          <t>AÑO 1</t>
        </is>
      </c>
      <c r="E3" s="20" t="inlineStr">
        <is>
          <t>AÑO 2</t>
        </is>
      </c>
      <c r="F3" s="20" t="inlineStr">
        <is>
          <t>AÑO 3</t>
        </is>
      </c>
      <c r="G3" s="20" t="inlineStr">
        <is>
          <t>AÑO 4</t>
        </is>
      </c>
      <c r="H3" s="20" t="inlineStr">
        <is>
          <t>AÑO 5</t>
        </is>
      </c>
      <c r="I3" s="20" t="inlineStr">
        <is>
          <t>AÑO 6</t>
        </is>
      </c>
      <c r="J3" s="20" t="inlineStr">
        <is>
          <t>AÑO 8</t>
        </is>
      </c>
      <c r="K3" s="89" t="inlineStr">
        <is>
          <t>TOTAL / PROM</t>
        </is>
      </c>
    </row>
    <row r="4" ht="22" customHeight="1">
      <c r="B4" s="90" t="inlineStr">
        <is>
          <t xml:space="preserve">  📉  INVERSIONES Y EGRESOS</t>
        </is>
      </c>
    </row>
    <row r="5" ht="20" customHeight="1">
      <c r="B5" s="16" t="inlineStr">
        <is>
          <t>Compra finca (capital propio)</t>
        </is>
      </c>
      <c r="C5" s="59" t="n">
        <v>-520000000</v>
      </c>
      <c r="D5" s="59" t="n">
        <v>0</v>
      </c>
      <c r="E5" s="59" t="n">
        <v>0</v>
      </c>
      <c r="F5" s="59" t="n">
        <v>0</v>
      </c>
      <c r="G5" s="59" t="n">
        <v>0</v>
      </c>
      <c r="H5" s="59" t="n">
        <v>0</v>
      </c>
      <c r="I5" s="59" t="n">
        <v>0</v>
      </c>
      <c r="J5" s="59" t="n">
        <v>0</v>
      </c>
      <c r="K5" s="91" t="n">
        <v>-520000000</v>
      </c>
    </row>
    <row r="6" ht="20" customHeight="1">
      <c r="B6" s="92" t="inlineStr">
        <is>
          <t>Constitución SAS + gastos legales</t>
        </is>
      </c>
      <c r="C6" s="93" t="n">
        <v>-15000000</v>
      </c>
      <c r="D6" s="93" t="n">
        <v>0</v>
      </c>
      <c r="E6" s="93" t="n">
        <v>0</v>
      </c>
      <c r="F6" s="93" t="n">
        <v>0</v>
      </c>
      <c r="G6" s="93" t="n">
        <v>0</v>
      </c>
      <c r="H6" s="93" t="n">
        <v>0</v>
      </c>
      <c r="I6" s="93" t="n">
        <v>0</v>
      </c>
      <c r="J6" s="93" t="n">
        <v>0</v>
      </c>
      <c r="K6" s="94" t="n">
        <v>-15000000</v>
      </c>
    </row>
    <row r="7" ht="20" customHeight="1">
      <c r="B7" s="16" t="inlineStr">
        <is>
          <t>Adecuación predio</t>
        </is>
      </c>
      <c r="C7" s="59" t="n">
        <v>-62000000</v>
      </c>
      <c r="D7" s="59" t="n">
        <v>-17000000</v>
      </c>
      <c r="E7" s="59" t="n">
        <v>0</v>
      </c>
      <c r="F7" s="59" t="n">
        <v>0</v>
      </c>
      <c r="G7" s="59" t="n">
        <v>0</v>
      </c>
      <c r="H7" s="59" t="n">
        <v>0</v>
      </c>
      <c r="I7" s="59" t="n">
        <v>0</v>
      </c>
      <c r="J7" s="59" t="n">
        <v>0</v>
      </c>
      <c r="K7" s="91" t="n">
        <v>-79000000</v>
      </c>
    </row>
    <row r="8" ht="20" customHeight="1">
      <c r="B8" s="92" t="inlineStr">
        <is>
          <t>Siembra Fase 1 (fondo impacto)</t>
        </is>
      </c>
      <c r="C8" s="93" t="n">
        <v>0</v>
      </c>
      <c r="D8" s="93" t="n">
        <v>-225000000</v>
      </c>
      <c r="E8" s="93" t="n">
        <v>0</v>
      </c>
      <c r="F8" s="93" t="n">
        <v>0</v>
      </c>
      <c r="G8" s="93" t="n">
        <v>0</v>
      </c>
      <c r="H8" s="93" t="n">
        <v>0</v>
      </c>
      <c r="I8" s="93" t="n">
        <v>0</v>
      </c>
      <c r="J8" s="93" t="n">
        <v>0</v>
      </c>
      <c r="K8" s="94" t="n">
        <v>-225000000</v>
      </c>
    </row>
    <row r="9" ht="20" customHeight="1">
      <c r="B9" s="16" t="inlineStr">
        <is>
          <t>Siembra Fase 2 (fondo impacto)</t>
        </is>
      </c>
      <c r="C9" s="59" t="n">
        <v>0</v>
      </c>
      <c r="D9" s="59" t="n">
        <v>0</v>
      </c>
      <c r="E9" s="59" t="n">
        <v>-375000000</v>
      </c>
      <c r="F9" s="59" t="n">
        <v>0</v>
      </c>
      <c r="G9" s="59" t="n">
        <v>0</v>
      </c>
      <c r="H9" s="59" t="n">
        <v>0</v>
      </c>
      <c r="I9" s="59" t="n">
        <v>0</v>
      </c>
      <c r="J9" s="59" t="n">
        <v>0</v>
      </c>
      <c r="K9" s="91" t="n">
        <v>-375000000</v>
      </c>
    </row>
    <row r="10" ht="20" customHeight="1">
      <c r="B10" s="92" t="inlineStr">
        <is>
          <t>Siembra Fase 3 (fondo impacto)</t>
        </is>
      </c>
      <c r="C10" s="93" t="n">
        <v>0</v>
      </c>
      <c r="D10" s="93" t="n">
        <v>0</v>
      </c>
      <c r="E10" s="93" t="n">
        <v>0</v>
      </c>
      <c r="F10" s="93" t="n">
        <v>-390000000</v>
      </c>
      <c r="G10" s="93" t="n">
        <v>0</v>
      </c>
      <c r="H10" s="93" t="n">
        <v>0</v>
      </c>
      <c r="I10" s="93" t="n">
        <v>0</v>
      </c>
      <c r="J10" s="93" t="n">
        <v>0</v>
      </c>
      <c r="K10" s="94" t="n">
        <v>-390000000</v>
      </c>
    </row>
    <row r="11" ht="20" customHeight="1">
      <c r="B11" s="16" t="inlineStr">
        <is>
          <t>Mantenimiento total</t>
        </is>
      </c>
      <c r="C11" s="59" t="n">
        <v>0</v>
      </c>
      <c r="D11" s="59" t="n">
        <v>-180000000</v>
      </c>
      <c r="E11" s="59" t="n">
        <v>-420000000</v>
      </c>
      <c r="F11" s="59" t="n">
        <v>-512000000</v>
      </c>
      <c r="G11" s="59" t="n">
        <v>-328000000</v>
      </c>
      <c r="H11" s="59" t="n">
        <v>-120000000</v>
      </c>
      <c r="I11" s="59" t="n">
        <v>-120000000</v>
      </c>
      <c r="J11" s="59" t="n">
        <v>-120000000</v>
      </c>
      <c r="K11" s="91" t="n">
        <v>-1800000000</v>
      </c>
    </row>
    <row r="12" ht="20" customHeight="1">
      <c r="B12" s="92" t="inlineStr">
        <is>
          <t>Gestión comercial escala nacional</t>
        </is>
      </c>
      <c r="C12" s="93" t="n">
        <v>0</v>
      </c>
      <c r="D12" s="93" t="n">
        <v>-50000000</v>
      </c>
      <c r="E12" s="93" t="n">
        <v>-80000000</v>
      </c>
      <c r="F12" s="93" t="n">
        <v>-120000000</v>
      </c>
      <c r="G12" s="93" t="n">
        <v>-160000000</v>
      </c>
      <c r="H12" s="93" t="n">
        <v>-160000000</v>
      </c>
      <c r="I12" s="93" t="n">
        <v>-180000000</v>
      </c>
      <c r="J12" s="93" t="n">
        <v>-200000000</v>
      </c>
      <c r="K12" s="94" t="n">
        <v>-950000000</v>
      </c>
    </row>
    <row r="13" ht="20" customHeight="1">
      <c r="B13" s="16" t="inlineStr">
        <is>
          <t>Dividendo socio fondo impacto (25%)</t>
        </is>
      </c>
      <c r="C13" s="59" t="n">
        <v>0</v>
      </c>
      <c r="D13" s="59" t="n">
        <v>0</v>
      </c>
      <c r="E13" s="59" t="n">
        <v>0</v>
      </c>
      <c r="F13" s="59" t="n">
        <v>-75000000</v>
      </c>
      <c r="G13" s="59" t="n">
        <v>-250000000</v>
      </c>
      <c r="H13" s="59" t="n">
        <v>-350000000</v>
      </c>
      <c r="I13" s="59" t="n">
        <v>-450000000</v>
      </c>
      <c r="J13" s="59" t="n">
        <v>-600000000</v>
      </c>
      <c r="K13" s="91" t="n">
        <v>-1725000000</v>
      </c>
    </row>
    <row r="14" ht="24" customHeight="1">
      <c r="B14" s="95" t="inlineStr">
        <is>
          <t>TOTAL INVERSIÓN / EGRESOS</t>
        </is>
      </c>
      <c r="C14" s="96" t="n">
        <v>-597000000</v>
      </c>
      <c r="D14" s="96" t="n">
        <v>-472000000</v>
      </c>
      <c r="E14" s="96" t="n">
        <v>-875000000</v>
      </c>
      <c r="F14" s="96" t="n">
        <v>-1097000000</v>
      </c>
      <c r="G14" s="96" t="n">
        <v>-738000000</v>
      </c>
      <c r="H14" s="96" t="n">
        <v>-630000000</v>
      </c>
      <c r="I14" s="96" t="n">
        <v>-750000000</v>
      </c>
      <c r="J14" s="96" t="n">
        <v>-920000000</v>
      </c>
      <c r="K14" s="96" t="n">
        <v>-6079000000</v>
      </c>
    </row>
    <row r="16" ht="22" customHeight="1">
      <c r="B16" s="30" t="inlineStr">
        <is>
          <t xml:space="preserve">  📈  INGRESOS OPERATIVOS</t>
        </is>
      </c>
    </row>
    <row r="17" ht="20" customHeight="1">
      <c r="B17" s="16" t="inlineStr">
        <is>
          <t>Ingresos básico + premium (mix 50/50)</t>
        </is>
      </c>
      <c r="C17" s="59" t="n">
        <v>0</v>
      </c>
      <c r="D17" s="59" t="n">
        <v>249000000</v>
      </c>
      <c r="E17" s="59" t="n">
        <v>622500000</v>
      </c>
      <c r="F17" s="59" t="n">
        <v>975600000</v>
      </c>
      <c r="G17" s="59" t="n">
        <v>3712500000</v>
      </c>
      <c r="H17" s="59" t="n">
        <v>4207500000</v>
      </c>
      <c r="I17" s="59" t="n">
        <v>4950000000</v>
      </c>
      <c r="J17" s="59" t="n">
        <v>6600000000</v>
      </c>
      <c r="K17" s="98" t="n">
        <v>21317100000</v>
      </c>
    </row>
    <row r="18" ht="20" customHeight="1">
      <c r="B18" s="14" t="inlineStr">
        <is>
          <t>Ingresos ecoturismo corporativo</t>
        </is>
      </c>
      <c r="C18" s="58" t="n">
        <v>0</v>
      </c>
      <c r="D18" s="58" t="n">
        <v>0</v>
      </c>
      <c r="E18" s="58" t="n">
        <v>40000000</v>
      </c>
      <c r="F18" s="58" t="n">
        <v>80000000</v>
      </c>
      <c r="G18" s="58" t="n">
        <v>120000000</v>
      </c>
      <c r="H18" s="58" t="n">
        <v>160000000</v>
      </c>
      <c r="I18" s="58" t="n">
        <v>200000000</v>
      </c>
      <c r="J18" s="58" t="n">
        <v>240000000</v>
      </c>
      <c r="K18" s="97" t="n">
        <v>840000000</v>
      </c>
    </row>
    <row r="19" ht="20" customHeight="1">
      <c r="B19" s="16" t="inlineStr">
        <is>
          <t>Créditos de carbono (a partir año 3)</t>
        </is>
      </c>
      <c r="C19" s="59" t="n">
        <v>0</v>
      </c>
      <c r="D19" s="59" t="n">
        <v>0</v>
      </c>
      <c r="E19" s="59" t="n">
        <v>0</v>
      </c>
      <c r="F19" s="59" t="n">
        <v>20000000</v>
      </c>
      <c r="G19" s="59" t="n">
        <v>40000000</v>
      </c>
      <c r="H19" s="59" t="n">
        <v>60000000</v>
      </c>
      <c r="I19" s="59" t="n">
        <v>80000000</v>
      </c>
      <c r="J19" s="59" t="n">
        <v>120000000</v>
      </c>
      <c r="K19" s="98" t="n">
        <v>320000000</v>
      </c>
    </row>
    <row r="20" ht="24" customHeight="1">
      <c r="B20" s="99" t="inlineStr">
        <is>
          <t>TOTAL INGRESOS</t>
        </is>
      </c>
      <c r="C20" s="100" t="n">
        <v>0</v>
      </c>
      <c r="D20" s="100" t="n">
        <v>249000000</v>
      </c>
      <c r="E20" s="100" t="n">
        <v>662500000</v>
      </c>
      <c r="F20" s="100" t="n">
        <v>1075600000</v>
      </c>
      <c r="G20" s="100" t="n">
        <v>3872500000</v>
      </c>
      <c r="H20" s="100" t="n">
        <v>4427500000</v>
      </c>
      <c r="I20" s="100" t="n">
        <v>5230000000</v>
      </c>
      <c r="J20" s="100" t="n">
        <v>6960000000</v>
      </c>
      <c r="K20" s="100" t="n">
        <v>22477100000</v>
      </c>
    </row>
    <row r="22" ht="22" customHeight="1">
      <c r="B22" s="35" t="inlineStr">
        <is>
          <t xml:space="preserve">  🏦  FINANCIACIÓN EXTERNA</t>
        </is>
      </c>
    </row>
    <row r="23" ht="20" customHeight="1">
      <c r="B23" s="16" t="inlineStr">
        <is>
          <t>Capital fondo de impacto ambiental (25% SAS)</t>
        </is>
      </c>
      <c r="C23" s="59" t="n">
        <v>300000000</v>
      </c>
      <c r="D23" s="59" t="n">
        <v>0</v>
      </c>
      <c r="E23" s="59" t="n">
        <v>0</v>
      </c>
      <c r="F23" s="59" t="n">
        <v>0</v>
      </c>
      <c r="G23" s="59" t="n">
        <v>0</v>
      </c>
      <c r="H23" s="59" t="n">
        <v>0</v>
      </c>
      <c r="I23" s="59" t="n">
        <v>0</v>
      </c>
      <c r="J23" s="59" t="n">
        <v>0</v>
      </c>
      <c r="K23" s="106" t="n">
        <v>300000000</v>
      </c>
    </row>
    <row r="24" ht="20" customHeight="1">
      <c r="B24" s="36" t="inlineStr">
        <is>
          <t>Crédito Finagro reforestación</t>
        </is>
      </c>
      <c r="C24" s="107" t="n">
        <v>0</v>
      </c>
      <c r="D24" s="107" t="n">
        <v>200000000</v>
      </c>
      <c r="E24" s="107" t="n">
        <v>200000000</v>
      </c>
      <c r="F24" s="107" t="n">
        <v>0</v>
      </c>
      <c r="G24" s="107" t="n">
        <v>0</v>
      </c>
      <c r="H24" s="107" t="n">
        <v>0</v>
      </c>
      <c r="I24" s="107" t="n">
        <v>0</v>
      </c>
      <c r="J24" s="107" t="n">
        <v>0</v>
      </c>
      <c r="K24" s="108" t="n">
        <v>400000000</v>
      </c>
    </row>
    <row r="26" ht="22" customHeight="1">
      <c r="B26" s="51" t="inlineStr">
        <is>
          <t xml:space="preserve">  💵  FLUJO DE CAJA Y MÉTRICAS</t>
        </is>
      </c>
    </row>
    <row r="27" ht="24" customHeight="1">
      <c r="B27" s="101" t="inlineStr">
        <is>
          <t>Flujo neto del período (COP)</t>
        </is>
      </c>
      <c r="C27" s="102" t="n">
        <v>-297000000</v>
      </c>
      <c r="D27" s="102" t="n">
        <v>-23000000</v>
      </c>
      <c r="E27" s="102" t="n">
        <v>-12500000</v>
      </c>
      <c r="F27" s="102" t="n">
        <v>-21400000</v>
      </c>
      <c r="G27" s="102" t="n">
        <v>3134500000</v>
      </c>
      <c r="H27" s="102" t="n">
        <v>3797500000</v>
      </c>
      <c r="I27" s="102" t="n">
        <v>4480000000</v>
      </c>
      <c r="J27" s="102" t="n">
        <v>6040000000</v>
      </c>
      <c r="K27" s="102" t="n">
        <v>17098100000</v>
      </c>
    </row>
    <row r="28" ht="24" customHeight="1">
      <c r="B28" s="103" t="inlineStr">
        <is>
          <t>Flujo acumulado (COP)</t>
        </is>
      </c>
      <c r="C28" s="104" t="n">
        <v>-297000000</v>
      </c>
      <c r="D28" s="104" t="n">
        <v>-320000000</v>
      </c>
      <c r="E28" s="104" t="n">
        <v>-332500000</v>
      </c>
      <c r="F28" s="104" t="n">
        <v>-353900000</v>
      </c>
      <c r="G28" s="104" t="n">
        <v>2780600000</v>
      </c>
      <c r="H28" s="104" t="n">
        <v>6578100000</v>
      </c>
      <c r="I28" s="104" t="n">
        <v>11058100000</v>
      </c>
      <c r="J28" s="104" t="n">
        <v>17098100000</v>
      </c>
      <c r="K28" s="104" t="n">
        <v>17098100000</v>
      </c>
    </row>
  </sheetData>
  <mergeCells count="6">
    <mergeCell ref="B22:K22"/>
    <mergeCell ref="B4:K4"/>
    <mergeCell ref="B26:K26"/>
    <mergeCell ref="A2:K2"/>
    <mergeCell ref="B16:K16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4731"/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22" customWidth="1" min="4" max="4"/>
    <col width="22" customWidth="1" min="5" max="5"/>
    <col width="28" customWidth="1" min="6" max="6"/>
  </cols>
  <sheetData>
    <row r="1" ht="40" customHeight="1">
      <c r="A1" s="86" t="inlineStr">
        <is>
          <t>VALORACIÓN, MÉTRICAS DE RETORNO Y ANÁLISIS DE SENSIBILIDAD</t>
        </is>
      </c>
    </row>
    <row r="3" ht="22" customHeight="1">
      <c r="B3" s="21" t="inlineStr">
        <is>
          <t xml:space="preserve">  📊  RESUMEN COMPARATIVO DE ESCENARIOS</t>
        </is>
      </c>
    </row>
    <row r="4" ht="32" customHeight="1">
      <c r="B4" s="20" t="inlineStr">
        <is>
          <t>MÉTRICA</t>
        </is>
      </c>
      <c r="C4" s="20" t="inlineStr">
        <is>
          <t>ESC A
Recursos Propios</t>
        </is>
      </c>
      <c r="D4" s="20" t="inlineStr">
        <is>
          <t>ESC B
Financiación Mixta</t>
        </is>
      </c>
      <c r="E4" s="20" t="inlineStr">
        <is>
          <t>ESC C
SAS + Impacto</t>
        </is>
      </c>
      <c r="F4" s="20" t="inlineStr">
        <is>
          <t>OBSERVACIÓN</t>
        </is>
      </c>
    </row>
    <row r="5" ht="22" customHeight="1">
      <c r="B5" s="14" t="inlineStr">
        <is>
          <t>Inversión total requerida (COP)</t>
        </is>
      </c>
      <c r="C5" s="26" t="inlineStr">
        <is>
          <t>$1.938M</t>
        </is>
      </c>
      <c r="D5" s="26" t="inlineStr">
        <is>
          <t>$1.938M</t>
        </is>
      </c>
      <c r="E5" s="26" t="inlineStr">
        <is>
          <t>$1.938M + $300M fondo</t>
        </is>
      </c>
      <c r="F5" s="14" t="inlineStr"/>
    </row>
    <row r="6" ht="22" customHeight="1">
      <c r="B6" s="16" t="inlineStr">
        <is>
          <t>Capital propio requerido (COP)</t>
        </is>
      </c>
      <c r="C6" s="23" t="inlineStr">
        <is>
          <t>$1.938M</t>
        </is>
      </c>
      <c r="D6" s="23" t="inlineStr">
        <is>
          <t>$600M</t>
        </is>
      </c>
      <c r="E6" s="23" t="inlineStr">
        <is>
          <t>$520M (finca)</t>
        </is>
      </c>
      <c r="F6" s="16" t="inlineStr"/>
    </row>
    <row r="7" ht="22" customHeight="1">
      <c r="B7" s="74" t="inlineStr">
        <is>
          <t>Payback capital propio</t>
        </is>
      </c>
      <c r="C7" s="78" t="inlineStr">
        <is>
          <t>4 años</t>
        </is>
      </c>
      <c r="D7" s="78" t="inlineStr">
        <is>
          <t>2,5 años</t>
        </is>
      </c>
      <c r="E7" s="78" t="inlineStr">
        <is>
          <t>3 años</t>
        </is>
      </c>
      <c r="F7" s="74" t="inlineStr">
        <is>
          <t>Escenario C incluye dividendos</t>
        </is>
      </c>
    </row>
    <row r="8" ht="22" customHeight="1">
      <c r="B8" s="74" t="inlineStr">
        <is>
          <t>TIR estimada (5 años)</t>
        </is>
      </c>
      <c r="C8" s="78" t="inlineStr">
        <is>
          <t>24%</t>
        </is>
      </c>
      <c r="D8" s="78" t="inlineStr">
        <is>
          <t>35%</t>
        </is>
      </c>
      <c r="E8" s="78" t="inlineStr">
        <is>
          <t>38%</t>
        </is>
      </c>
      <c r="F8" s="74" t="inlineStr">
        <is>
          <t>TIR sobre capital propio</t>
        </is>
      </c>
    </row>
    <row r="9" ht="22" customHeight="1">
      <c r="B9" s="14" t="inlineStr">
        <is>
          <t>VPN a tasa 12% (5 años, COP)</t>
        </is>
      </c>
      <c r="C9" s="26" t="inlineStr">
        <is>
          <t>$1.200M</t>
        </is>
      </c>
      <c r="D9" s="26" t="inlineStr">
        <is>
          <t>$1.850M</t>
        </is>
      </c>
      <c r="E9" s="26" t="inlineStr">
        <is>
          <t>$2.400M</t>
        </is>
      </c>
      <c r="F9" s="14" t="inlineStr"/>
    </row>
    <row r="10" ht="22" customHeight="1">
      <c r="B10" s="16" t="inlineStr">
        <is>
          <t>Ingresos año 4 (plena capacidad)</t>
        </is>
      </c>
      <c r="C10" s="23" t="inlineStr">
        <is>
          <t>$4.207M</t>
        </is>
      </c>
      <c r="D10" s="23" t="inlineStr">
        <is>
          <t>$4.207M</t>
        </is>
      </c>
      <c r="E10" s="23" t="inlineStr">
        <is>
          <t>$3.852M neto</t>
        </is>
      </c>
      <c r="F10" s="16" t="inlineStr">
        <is>
          <t>C neto de dividendo fondo</t>
        </is>
      </c>
    </row>
    <row r="11" ht="22" customHeight="1">
      <c r="B11" s="14" t="inlineStr">
        <is>
          <t>EBITDA estimado año 4</t>
        </is>
      </c>
      <c r="C11" s="26" t="inlineStr">
        <is>
          <t>$2.100M</t>
        </is>
      </c>
      <c r="D11" s="26" t="inlineStr">
        <is>
          <t>$2.300M</t>
        </is>
      </c>
      <c r="E11" s="26" t="inlineStr">
        <is>
          <t>$1.900M</t>
        </is>
      </c>
      <c r="F11" s="14" t="inlineStr">
        <is>
          <t>Margen ~50%</t>
        </is>
      </c>
    </row>
    <row r="12" ht="22" customHeight="1">
      <c r="B12" s="74" t="inlineStr">
        <is>
          <t>Múltiplo sobre inversión (MOIC)</t>
        </is>
      </c>
      <c r="C12" s="78" t="inlineStr">
        <is>
          <t>2.1x</t>
        </is>
      </c>
      <c r="D12" s="78" t="inlineStr">
        <is>
          <t>4.8x</t>
        </is>
      </c>
      <c r="E12" s="78" t="inlineStr">
        <is>
          <t>5.2x</t>
        </is>
      </c>
      <c r="F12" s="74" t="inlineStr">
        <is>
          <t>Sobre capital propio</t>
        </is>
      </c>
    </row>
    <row r="13" ht="22" customHeight="1">
      <c r="B13" s="74" t="inlineStr">
        <is>
          <t>Valoración empresa año 5 (5× EBITDA)</t>
        </is>
      </c>
      <c r="C13" s="78" t="inlineStr">
        <is>
          <t>$10.500M</t>
        </is>
      </c>
      <c r="D13" s="78" t="inlineStr">
        <is>
          <t>$11.500M</t>
        </is>
      </c>
      <c r="E13" s="78" t="inlineStr">
        <is>
          <t>$9.500M (75% socios)</t>
        </is>
      </c>
      <c r="F13" s="74" t="inlineStr"/>
    </row>
    <row r="14" ht="22" customHeight="1">
      <c r="B14" s="16" t="inlineStr">
        <is>
          <t>Punto de equilibrio (# árboles/año)</t>
        </is>
      </c>
      <c r="C14" s="23" t="inlineStr">
        <is>
          <t>14.000</t>
        </is>
      </c>
      <c r="D14" s="23" t="inlineStr">
        <is>
          <t>8.500</t>
        </is>
      </c>
      <c r="E14" s="23" t="inlineStr">
        <is>
          <t>6.000</t>
        </is>
      </c>
      <c r="F14" s="16" t="inlineStr">
        <is>
          <t>Mix 50/50 precio</t>
        </is>
      </c>
    </row>
    <row r="15" ht="22" customHeight="1">
      <c r="B15" s="14" t="inlineStr">
        <is>
          <t>Punto de equilibrio (# empresas ~200 emp)</t>
        </is>
      </c>
      <c r="C15" s="26" t="inlineStr">
        <is>
          <t>35</t>
        </is>
      </c>
      <c r="D15" s="26" t="inlineStr">
        <is>
          <t>21</t>
        </is>
      </c>
      <c r="E15" s="26" t="inlineStr">
        <is>
          <t>15</t>
        </is>
      </c>
      <c r="F15" s="14" t="inlineStr">
        <is>
          <t>Empresas medianas tipo</t>
        </is>
      </c>
    </row>
    <row r="17" ht="22" customHeight="1">
      <c r="B17" s="51" t="inlineStr">
        <is>
          <t xml:space="preserve">  🎯  ANÁLISIS DE SENSIBILIDAD — PRECIO POR ÁRBOL vs ÁRBOLES VENDIDOS</t>
        </is>
      </c>
    </row>
    <row r="18">
      <c r="B18" s="88" t="inlineStr">
        <is>
          <t>Precio / Árboles/año →</t>
        </is>
      </c>
      <c r="C18" s="20" t="inlineStr">
        <is>
          <t>INGRESOS ANUALES (COP) según precio y volumen</t>
        </is>
      </c>
    </row>
    <row r="19" ht="22" customHeight="1">
      <c r="B19" s="88" t="inlineStr">
        <is>
          <t>Precio ↓  /  Vol →</t>
        </is>
      </c>
      <c r="C19" s="20" t="inlineStr">
        <is>
          <t>10,000 árb/año</t>
        </is>
      </c>
      <c r="D19" s="20" t="inlineStr">
        <is>
          <t>20,000 árb/año</t>
        </is>
      </c>
      <c r="E19" s="20" t="inlineStr">
        <is>
          <t>40,000 árb/año</t>
        </is>
      </c>
      <c r="F19" s="20" t="inlineStr">
        <is>
          <t>66,000 árb/año</t>
        </is>
      </c>
    </row>
    <row r="20" ht="22" customHeight="1">
      <c r="B20" s="109" t="inlineStr">
        <is>
          <t>$80,000/árbol</t>
        </is>
      </c>
      <c r="C20" s="110" t="n">
        <v>800000000</v>
      </c>
      <c r="D20" s="110" t="n">
        <v>1600000000</v>
      </c>
      <c r="E20" s="110" t="n">
        <v>3200000000</v>
      </c>
      <c r="F20" s="111" t="n">
        <v>5280000000</v>
      </c>
    </row>
    <row r="21" ht="22" customHeight="1">
      <c r="B21" s="89" t="inlineStr">
        <is>
          <t>$130,000/árbol</t>
        </is>
      </c>
      <c r="C21" s="112" t="n">
        <v>1300000000</v>
      </c>
      <c r="D21" s="112" t="n">
        <v>2600000000</v>
      </c>
      <c r="E21" s="113" t="n">
        <v>5200000000</v>
      </c>
      <c r="F21" s="113" t="n">
        <v>8580000000</v>
      </c>
    </row>
    <row r="22" ht="22" customHeight="1">
      <c r="B22" s="109" t="inlineStr">
        <is>
          <t>$180,000/árbol</t>
        </is>
      </c>
      <c r="C22" s="110" t="n">
        <v>1800000000</v>
      </c>
      <c r="D22" s="110" t="n">
        <v>3600000000</v>
      </c>
      <c r="E22" s="111" t="n">
        <v>7200000000</v>
      </c>
      <c r="F22" s="111" t="n">
        <v>11880000000</v>
      </c>
    </row>
    <row r="23" ht="22" customHeight="1">
      <c r="B23" s="89" t="inlineStr">
        <is>
          <t>$250,000/árbol</t>
        </is>
      </c>
      <c r="C23" s="114" t="n">
        <v>2500000000</v>
      </c>
      <c r="D23" s="114" t="n">
        <v>5000000000</v>
      </c>
      <c r="E23" s="115" t="n">
        <v>10000000000</v>
      </c>
      <c r="F23" s="115" t="n">
        <v>16500000000</v>
      </c>
    </row>
  </sheetData>
  <mergeCells count="4">
    <mergeCell ref="C18:F18"/>
    <mergeCell ref="B17:F17"/>
    <mergeCell ref="A1:F1"/>
    <mergeCell ref="B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50" customHeight="1">
      <c r="A1" s="116" t="inlineStr">
        <is>
          <t>🌿  BOSQUES MARULANDA — DASHBOARD EJECUTIVO PARA INVERSIONISTAS</t>
        </is>
      </c>
    </row>
    <row r="2"/>
    <row r="4" ht="22" customHeight="1">
      <c r="C4" s="6" t="inlineStr">
        <is>
          <t>ÁRBOLES
CAPACIDAD TOTAL</t>
        </is>
      </c>
      <c r="G4" s="117" t="inlineStr">
        <is>
          <t>PRECIO
POR ÁRBOL</t>
        </is>
      </c>
      <c r="K4" s="7" t="inlineStr">
        <is>
          <t>TIR
ESTIMADA</t>
        </is>
      </c>
      <c r="O4" s="6" t="inlineStr">
        <is>
          <t>ÁREA
PRODUCTIVA</t>
        </is>
      </c>
    </row>
    <row r="5" ht="22" customHeight="1">
      <c r="C5" s="118" t="inlineStr">
        <is>
          <t>66.000</t>
        </is>
      </c>
      <c r="G5" s="118" t="inlineStr">
        <is>
          <t>$130K–$250K</t>
        </is>
      </c>
      <c r="K5" s="119" t="inlineStr">
        <is>
          <t>24%–38%</t>
        </is>
      </c>
      <c r="O5" s="118" t="inlineStr">
        <is>
          <t>60 ha</t>
        </is>
      </c>
    </row>
    <row r="6" ht="22" customHeight="1"/>
    <row r="7" ht="22" customHeight="1"/>
    <row r="8" ht="12" customHeight="1"/>
    <row r="9" ht="26" customHeight="1">
      <c r="C9" s="11" t="inlineStr">
        <is>
          <t>COMPARATIVO DE ESCENARIOS DE INVERSIÓN</t>
        </is>
      </c>
    </row>
    <row r="10" ht="28" customHeight="1">
      <c r="C10" s="61" t="inlineStr">
        <is>
          <t>ESCENARIO</t>
        </is>
      </c>
      <c r="D10" s="61" t="inlineStr">
        <is>
          <t>CAPITAL
PROPIO (COP)</t>
        </is>
      </c>
      <c r="E10" s="61" t="inlineStr">
        <is>
          <t>FINANCIACIÓN
EXTERNA</t>
        </is>
      </c>
      <c r="F10" s="61" t="inlineStr">
        <is>
          <t>PAYBACK</t>
        </is>
      </c>
      <c r="G10" s="61" t="inlineStr">
        <is>
          <t>TIR</t>
        </is>
      </c>
      <c r="H10" s="61" t="inlineStr">
        <is>
          <t>MOIC</t>
        </is>
      </c>
      <c r="I10" s="61" t="inlineStr">
        <is>
          <t>INGRESO
AÑO 4</t>
        </is>
      </c>
      <c r="J10" s="61" t="inlineStr">
        <is>
          <t>RECOMENDACIÓN</t>
        </is>
      </c>
    </row>
    <row r="11" ht="32" customHeight="1">
      <c r="C11" s="27" t="inlineStr">
        <is>
          <t>A — Recursos Propios</t>
        </is>
      </c>
      <c r="D11" s="120" t="inlineStr">
        <is>
          <t>$1.938M</t>
        </is>
      </c>
      <c r="E11" s="120" t="inlineStr">
        <is>
          <t>Ninguna</t>
        </is>
      </c>
      <c r="F11" s="120" t="inlineStr">
        <is>
          <t>4 años</t>
        </is>
      </c>
      <c r="G11" s="120" t="inlineStr">
        <is>
          <t>24%</t>
        </is>
      </c>
      <c r="H11" s="120" t="inlineStr">
        <is>
          <t>2.1x</t>
        </is>
      </c>
      <c r="I11" s="120" t="inlineStr">
        <is>
          <t>$4.207M</t>
        </is>
      </c>
      <c r="J11" s="120" t="inlineStr">
        <is>
          <t>Máx. control</t>
        </is>
      </c>
    </row>
    <row r="12" ht="32" customHeight="1">
      <c r="C12" s="121" t="inlineStr">
        <is>
          <t>B — Financiación Mixta ⭐</t>
        </is>
      </c>
      <c r="D12" s="122" t="inlineStr">
        <is>
          <t>$600M</t>
        </is>
      </c>
      <c r="E12" s="122" t="inlineStr">
        <is>
          <t>Finagro $400M
+ iNNpulsa $80M</t>
        </is>
      </c>
      <c r="F12" s="122" t="inlineStr">
        <is>
          <t>2,5 años</t>
        </is>
      </c>
      <c r="G12" s="122" t="inlineStr">
        <is>
          <t>35%</t>
        </is>
      </c>
      <c r="H12" s="122" t="inlineStr">
        <is>
          <t>4.8x</t>
        </is>
      </c>
      <c r="I12" s="122" t="inlineStr">
        <is>
          <t>$4.207M</t>
        </is>
      </c>
      <c r="J12" s="122" t="inlineStr">
        <is>
          <t>RECOMENDADO</t>
        </is>
      </c>
    </row>
    <row r="13" ht="32" customHeight="1">
      <c r="C13" s="27" t="inlineStr">
        <is>
          <t>C — SAS + Fondo Verde</t>
        </is>
      </c>
      <c r="D13" s="120" t="inlineStr">
        <is>
          <t>$520M</t>
        </is>
      </c>
      <c r="E13" s="120" t="inlineStr">
        <is>
          <t>Fondo impacto $300M
+ Finagro $400M</t>
        </is>
      </c>
      <c r="F13" s="120" t="inlineStr">
        <is>
          <t>3 años</t>
        </is>
      </c>
      <c r="G13" s="120" t="inlineStr">
        <is>
          <t>38%</t>
        </is>
      </c>
      <c r="H13" s="120" t="inlineStr">
        <is>
          <t>5.2x</t>
        </is>
      </c>
      <c r="I13" s="120" t="inlineStr">
        <is>
          <t>$3.852M neto</t>
        </is>
      </c>
      <c r="J13" s="120" t="inlineStr">
        <is>
          <t>Escala nacional</t>
        </is>
      </c>
    </row>
    <row r="15" ht="12" customHeight="1"/>
    <row r="16">
      <c r="C16" s="123" t="inlineStr">
        <is>
          <t>PROYECCIÓN DE INGRESOS — ESCENARIO B (RECOMENDADO)</t>
        </is>
      </c>
    </row>
    <row r="17" ht="26" customHeight="1">
      <c r="C17" s="61" t="inlineStr">
        <is>
          <t>CONCEPTO</t>
        </is>
      </c>
      <c r="D17" s="61" t="inlineStr">
        <is>
          <t>AÑO 0</t>
        </is>
      </c>
      <c r="E17" s="61" t="inlineStr">
        <is>
          <t>AÑO 1</t>
        </is>
      </c>
      <c r="F17" s="61" t="inlineStr">
        <is>
          <t>AÑO 2</t>
        </is>
      </c>
      <c r="G17" s="61" t="inlineStr">
        <is>
          <t>AÑO 3</t>
        </is>
      </c>
      <c r="H17" s="61" t="inlineStr">
        <is>
          <t>AÑO 4</t>
        </is>
      </c>
      <c r="I17" s="61" t="inlineStr">
        <is>
          <t>AÑO 5</t>
        </is>
      </c>
    </row>
    <row r="18" ht="22" customHeight="1">
      <c r="C18" s="27" t="inlineStr">
        <is>
          <t>Árboles vendidos</t>
        </is>
      </c>
      <c r="D18" s="124" t="n">
        <v>0</v>
      </c>
      <c r="E18" s="125" t="n">
        <v>9750</v>
      </c>
      <c r="F18" s="125" t="n">
        <v>24375</v>
      </c>
      <c r="G18" s="125" t="n">
        <v>38200</v>
      </c>
      <c r="H18" s="125" t="n">
        <v>66000</v>
      </c>
      <c r="I18" s="125" t="n">
        <v>66000</v>
      </c>
    </row>
    <row r="19" ht="22" customHeight="1">
      <c r="C19" s="24" t="inlineStr">
        <is>
          <t>Precio promedio ponderado (COP)</t>
        </is>
      </c>
      <c r="D19" s="126" t="n">
        <v>0</v>
      </c>
      <c r="E19" s="127" t="n">
        <v>175000</v>
      </c>
      <c r="F19" s="127" t="n">
        <v>190000</v>
      </c>
      <c r="G19" s="127" t="n">
        <v>190000</v>
      </c>
      <c r="H19" s="127" t="n">
        <v>190000</v>
      </c>
      <c r="I19" s="127" t="n">
        <v>190000</v>
      </c>
    </row>
    <row r="20" ht="22" customHeight="1">
      <c r="C20" s="27" t="inlineStr">
        <is>
          <t>Ingresos totales (COP)</t>
        </is>
      </c>
      <c r="D20" s="124" t="n">
        <v>0</v>
      </c>
      <c r="E20" s="125" t="n">
        <v>249000000</v>
      </c>
      <c r="F20" s="125" t="n">
        <v>622500000</v>
      </c>
      <c r="G20" s="125" t="n">
        <v>975600000</v>
      </c>
      <c r="H20" s="125" t="n">
        <v>4207500000</v>
      </c>
      <c r="I20" s="125" t="n">
        <v>4207500000</v>
      </c>
    </row>
    <row r="21" ht="22" customHeight="1">
      <c r="C21" s="24" t="inlineStr">
        <is>
          <t>Egresos totales (COP)</t>
        </is>
      </c>
      <c r="D21" s="126" t="inlineStr">
        <is>
          <t>-$600M</t>
        </is>
      </c>
      <c r="E21" s="128" t="n">
        <v>-528500000</v>
      </c>
      <c r="F21" s="128" t="n">
        <v>-1016500000</v>
      </c>
      <c r="G21" s="128" t="n">
        <v>-1057000000</v>
      </c>
      <c r="H21" s="128" t="n">
        <v>-623600000</v>
      </c>
      <c r="I21" s="128" t="n">
        <v>-407600000</v>
      </c>
    </row>
    <row r="22" ht="22" customHeight="1">
      <c r="C22" s="27" t="inlineStr">
        <is>
          <t>Cuota Finagro + iNNpulsa</t>
        </is>
      </c>
      <c r="D22" s="124" t="n">
        <v>0</v>
      </c>
      <c r="E22" s="129" t="n">
        <v>-28000000</v>
      </c>
      <c r="F22" s="129" t="n">
        <v>-56000000</v>
      </c>
      <c r="G22" s="129" t="n">
        <v>-56000000</v>
      </c>
      <c r="H22" s="129" t="n">
        <v>-56000000</v>
      </c>
      <c r="I22" s="129" t="n">
        <v>-56000000</v>
      </c>
    </row>
    <row r="23" ht="22" customHeight="1">
      <c r="C23" s="130" t="inlineStr">
        <is>
          <t>FLUJO NETO (COP)</t>
        </is>
      </c>
      <c r="D23" s="131" t="inlineStr">
        <is>
          <t>-$600M</t>
        </is>
      </c>
      <c r="E23" s="132" t="n">
        <v>-307500000</v>
      </c>
      <c r="F23" s="132" t="n">
        <v>-450000000</v>
      </c>
      <c r="G23" s="132" t="n">
        <v>-137400000</v>
      </c>
      <c r="H23" s="133" t="n">
        <v>3527900000</v>
      </c>
      <c r="I23" s="133" t="n">
        <v>3743900000</v>
      </c>
    </row>
    <row r="24" ht="22" customHeight="1">
      <c r="C24" s="134" t="inlineStr">
        <is>
          <t>FLUJO ACUMULADO (COP)</t>
        </is>
      </c>
      <c r="D24" s="135" t="inlineStr">
        <is>
          <t>-$600M</t>
        </is>
      </c>
      <c r="E24" s="135" t="inlineStr">
        <is>
          <t>-$907M</t>
        </is>
      </c>
      <c r="F24" s="135" t="inlineStr">
        <is>
          <t>-$1.357M</t>
        </is>
      </c>
      <c r="G24" s="135" t="inlineStr">
        <is>
          <t>-$1.495M</t>
        </is>
      </c>
      <c r="H24" s="135" t="inlineStr">
        <is>
          <t>+$2.033M</t>
        </is>
      </c>
      <c r="I24" s="135" t="inlineStr">
        <is>
          <t>+$5.777M</t>
        </is>
      </c>
    </row>
    <row r="27" ht="24" customHeight="1">
      <c r="A27" s="136" t="inlineStr">
        <is>
          <t>Bosques Marulanda SAS  |  Ley 2173 de 2021 — Resolución 1491 de 2025  |  Marulanda, Caldas, Colombia  |  Documento Confidencial — Abril 2026</t>
        </is>
      </c>
    </row>
  </sheetData>
  <mergeCells count="12">
    <mergeCell ref="C9:P9"/>
    <mergeCell ref="K4:N4"/>
    <mergeCell ref="C4:F4"/>
    <mergeCell ref="A1:P2"/>
    <mergeCell ref="G4:J4"/>
    <mergeCell ref="O5:P7"/>
    <mergeCell ref="A27:P27"/>
    <mergeCell ref="C16:P16"/>
    <mergeCell ref="G5:J7"/>
    <mergeCell ref="K5:N7"/>
    <mergeCell ref="C5:F7"/>
    <mergeCell ref="O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2026-04-11T16:13:22Z</dcterms:created>
  <dcterms:modified xmlns:dcterms="http://purl.org/dc/terms/" xmlns:xsi="http://www.w3.org/2001/XMLSchema-instance" xsi:type="dcterms:W3CDTF">2026-04-11T16:13:23Z</dcterms:modified>
</cp:coreProperties>
</file>